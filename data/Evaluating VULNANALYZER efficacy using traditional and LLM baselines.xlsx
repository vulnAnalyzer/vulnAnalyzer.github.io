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\Desktop\work4\data\"/>
    </mc:Choice>
  </mc:AlternateContent>
  <xr:revisionPtr revIDLastSave="0" documentId="13_ncr:1_{7BAF4681-F3C4-4D47-92AE-3B7CE40F3B0B}" xr6:coauthVersionLast="47" xr6:coauthVersionMax="47" xr10:uidLastSave="{00000000-0000-0000-0000-000000000000}"/>
  <bookViews>
    <workbookView xWindow="38280" yWindow="-120" windowWidth="38640" windowHeight="21120" activeTab="4" xr2:uid="{9400FD46-8EFF-4CD7-9368-A8EF63D27135}"/>
  </bookViews>
  <sheets>
    <sheet name="vulnAnalyzer" sheetId="10" r:id="rId1"/>
    <sheet name="steady" sheetId="11" r:id="rId2"/>
    <sheet name="VAScanner" sheetId="12" r:id="rId3"/>
    <sheet name="IRIS+Llama3-8B" sheetId="7" r:id="rId4"/>
    <sheet name="IRIS+Gemma2-27B" sheetId="5" r:id="rId5"/>
    <sheet name="IRIS+GPT-3.5" sheetId="6" r:id="rId6"/>
    <sheet name="IRIS+Qwen2.5-32B" sheetId="9" r:id="rId7"/>
    <sheet name="IRIS+DeepSeekCoder-7B" sheetId="3" r:id="rId8"/>
    <sheet name="IRIS+Llama3-70B" sheetId="8" r:id="rId9"/>
    <sheet name="IRIS+GPT-4" sheetId="1" r:id="rId10"/>
  </sheets>
  <calcPr calcId="181029"/>
</workbook>
</file>

<file path=xl/calcChain.xml><?xml version="1.0" encoding="utf-8"?>
<calcChain xmlns="http://schemas.openxmlformats.org/spreadsheetml/2006/main">
  <c r="E2" i="12" l="1"/>
  <c r="F2" i="12"/>
  <c r="G2" i="12" s="1"/>
  <c r="H2" i="12" s="1"/>
  <c r="E3" i="12"/>
  <c r="F3" i="12"/>
  <c r="G3" i="12"/>
  <c r="H3" i="12"/>
  <c r="E4" i="12"/>
  <c r="F4" i="12"/>
  <c r="G4" i="12"/>
  <c r="H4" i="12"/>
  <c r="E5" i="12"/>
  <c r="F5" i="12"/>
  <c r="G5" i="12"/>
  <c r="H5" i="12" s="1"/>
  <c r="E6" i="12"/>
  <c r="F6" i="12"/>
  <c r="G6" i="12"/>
  <c r="H6" i="12" s="1"/>
  <c r="E7" i="12"/>
  <c r="F7" i="12"/>
  <c r="G7" i="12"/>
  <c r="H7" i="12"/>
  <c r="E8" i="12"/>
  <c r="F8" i="12"/>
  <c r="G8" i="12"/>
  <c r="H8" i="12"/>
  <c r="E9" i="12"/>
  <c r="F9" i="12"/>
  <c r="G9" i="12"/>
  <c r="H9" i="12"/>
  <c r="E10" i="12"/>
  <c r="F10" i="12"/>
  <c r="G10" i="12" s="1"/>
  <c r="H10" i="12" s="1"/>
  <c r="E11" i="12"/>
  <c r="F11" i="12"/>
  <c r="G11" i="12"/>
  <c r="H11" i="12"/>
  <c r="E12" i="12"/>
  <c r="F12" i="12"/>
  <c r="G12" i="12"/>
  <c r="H12" i="12"/>
  <c r="E13" i="12"/>
  <c r="F13" i="12"/>
  <c r="G13" i="12"/>
  <c r="H13" i="12" s="1"/>
  <c r="E14" i="12"/>
  <c r="F14" i="12"/>
  <c r="G14" i="12"/>
  <c r="H14" i="12"/>
  <c r="E15" i="12"/>
  <c r="F15" i="12"/>
  <c r="G15" i="12"/>
  <c r="H15" i="12"/>
  <c r="E16" i="12"/>
  <c r="F16" i="12"/>
  <c r="G16" i="12"/>
  <c r="H16" i="12"/>
  <c r="E17" i="12"/>
  <c r="F17" i="12"/>
  <c r="G17" i="12"/>
  <c r="H17" i="12"/>
  <c r="E18" i="12"/>
  <c r="F18" i="12"/>
  <c r="G18" i="12" s="1"/>
  <c r="H18" i="12" s="1"/>
  <c r="E19" i="12"/>
  <c r="F19" i="12"/>
  <c r="G19" i="12"/>
  <c r="H19" i="12"/>
  <c r="E20" i="12"/>
  <c r="F20" i="12"/>
  <c r="G20" i="12"/>
  <c r="H20" i="12"/>
  <c r="E21" i="12"/>
  <c r="F21" i="12"/>
  <c r="G21" i="12"/>
  <c r="H21" i="12" s="1"/>
  <c r="E22" i="12"/>
  <c r="F22" i="12"/>
  <c r="G22" i="12"/>
  <c r="H22" i="12"/>
  <c r="E23" i="12"/>
  <c r="F23" i="12"/>
  <c r="G23" i="12"/>
  <c r="H23" i="12"/>
  <c r="E24" i="12"/>
  <c r="F24" i="12"/>
  <c r="G24" i="12"/>
  <c r="H24" i="12"/>
  <c r="E25" i="12"/>
  <c r="F25" i="12"/>
  <c r="G25" i="12"/>
  <c r="H25" i="12"/>
  <c r="E26" i="12"/>
  <c r="F26" i="12"/>
  <c r="G26" i="12" s="1"/>
  <c r="H26" i="12" s="1"/>
  <c r="E27" i="12"/>
  <c r="F27" i="12"/>
  <c r="G27" i="12"/>
  <c r="H27" i="12"/>
  <c r="E28" i="12"/>
  <c r="F28" i="12"/>
  <c r="G28" i="12"/>
  <c r="H28" i="12"/>
  <c r="E29" i="12"/>
  <c r="F29" i="12"/>
  <c r="G29" i="12"/>
  <c r="H29" i="12" s="1"/>
  <c r="E30" i="12"/>
  <c r="F30" i="12"/>
  <c r="G30" i="12"/>
  <c r="H30" i="12"/>
  <c r="E31" i="12"/>
  <c r="F31" i="12"/>
  <c r="G31" i="12"/>
  <c r="H31" i="12"/>
  <c r="E32" i="12"/>
  <c r="F32" i="12"/>
  <c r="G32" i="12" s="1"/>
  <c r="H32" i="12" s="1"/>
  <c r="E33" i="12"/>
  <c r="F33" i="12"/>
  <c r="G33" i="12"/>
  <c r="H33" i="12"/>
  <c r="E34" i="12"/>
  <c r="F34" i="12"/>
  <c r="G34" i="12" s="1"/>
  <c r="H34" i="12" s="1"/>
  <c r="E35" i="12"/>
  <c r="F35" i="12"/>
  <c r="G35" i="12"/>
  <c r="H35" i="12"/>
  <c r="E36" i="12"/>
  <c r="F36" i="12"/>
  <c r="G36" i="12"/>
  <c r="H36" i="12"/>
  <c r="E37" i="12"/>
  <c r="F37" i="12"/>
  <c r="G37" i="12"/>
  <c r="H37" i="12" s="1"/>
  <c r="E38" i="12"/>
  <c r="F38" i="12"/>
  <c r="G38" i="12"/>
  <c r="H38" i="12"/>
  <c r="E39" i="12"/>
  <c r="F39" i="12"/>
  <c r="G39" i="12"/>
  <c r="H39" i="12"/>
  <c r="E40" i="12"/>
  <c r="F40" i="12"/>
  <c r="G40" i="12"/>
  <c r="H40" i="12"/>
  <c r="E41" i="12"/>
  <c r="F41" i="12"/>
  <c r="G41" i="12"/>
  <c r="H41" i="12"/>
  <c r="E42" i="12"/>
  <c r="F42" i="12"/>
  <c r="G42" i="12" s="1"/>
  <c r="H42" i="12" s="1"/>
  <c r="E43" i="12"/>
  <c r="F43" i="12"/>
  <c r="G43" i="12"/>
  <c r="H43" i="12"/>
  <c r="E44" i="12"/>
  <c r="F44" i="12"/>
  <c r="G44" i="12"/>
  <c r="H44" i="12"/>
  <c r="E45" i="12"/>
  <c r="F45" i="12"/>
  <c r="G45" i="12"/>
  <c r="H45" i="12" s="1"/>
  <c r="E46" i="12"/>
  <c r="F46" i="12"/>
  <c r="G46" i="12"/>
  <c r="H46" i="12"/>
  <c r="E47" i="12"/>
  <c r="F47" i="12"/>
  <c r="G47" i="12"/>
  <c r="H47" i="12"/>
  <c r="E48" i="12"/>
  <c r="F48" i="12"/>
  <c r="G48" i="12"/>
  <c r="H48" i="12" s="1"/>
  <c r="E49" i="12"/>
  <c r="F49" i="12"/>
  <c r="G49" i="12"/>
  <c r="H49" i="12"/>
  <c r="E50" i="12"/>
  <c r="F50" i="12"/>
  <c r="G50" i="12" s="1"/>
  <c r="H50" i="12" s="1"/>
  <c r="E51" i="12"/>
  <c r="F51" i="12"/>
  <c r="G51" i="12"/>
  <c r="H51" i="12"/>
  <c r="E52" i="12"/>
  <c r="F52" i="12"/>
  <c r="G52" i="12"/>
  <c r="H52" i="12"/>
  <c r="E53" i="12"/>
  <c r="F53" i="12"/>
  <c r="G53" i="12"/>
  <c r="H53" i="12" s="1"/>
  <c r="E54" i="12"/>
  <c r="F54" i="12"/>
  <c r="G54" i="12"/>
  <c r="H54" i="12"/>
  <c r="E55" i="12"/>
  <c r="F55" i="12"/>
  <c r="G55" i="12"/>
  <c r="H55" i="12"/>
  <c r="E56" i="12"/>
  <c r="F56" i="12"/>
  <c r="G56" i="12"/>
  <c r="H56" i="12"/>
  <c r="E57" i="12"/>
  <c r="F57" i="12"/>
  <c r="G57" i="12"/>
  <c r="H57" i="12"/>
  <c r="E58" i="12"/>
  <c r="F58" i="12"/>
  <c r="G58" i="12" s="1"/>
  <c r="H58" i="12" s="1"/>
  <c r="E59" i="12"/>
  <c r="F59" i="12"/>
  <c r="G59" i="12"/>
  <c r="H59" i="12"/>
  <c r="E60" i="12"/>
  <c r="F60" i="12"/>
  <c r="G60" i="12"/>
  <c r="H60" i="12"/>
  <c r="E61" i="12"/>
  <c r="F61" i="12"/>
  <c r="G61" i="12"/>
  <c r="H61" i="12" s="1"/>
  <c r="E62" i="12"/>
  <c r="F62" i="12"/>
  <c r="G62" i="12"/>
  <c r="H62" i="12"/>
  <c r="E63" i="12"/>
  <c r="F63" i="12"/>
  <c r="G63" i="12"/>
  <c r="H63" i="12"/>
  <c r="E64" i="12"/>
  <c r="F64" i="12"/>
  <c r="G64" i="12"/>
  <c r="H64" i="12" s="1"/>
  <c r="E65" i="12"/>
  <c r="F65" i="12"/>
  <c r="G65" i="12"/>
  <c r="H65" i="12"/>
  <c r="E66" i="12"/>
  <c r="F66" i="12"/>
  <c r="G66" i="12" s="1"/>
  <c r="H66" i="12" s="1"/>
  <c r="E67" i="12"/>
  <c r="F67" i="12"/>
  <c r="G67" i="12"/>
  <c r="H67" i="12"/>
  <c r="E68" i="12"/>
  <c r="F68" i="12"/>
  <c r="G68" i="12"/>
  <c r="H68" i="12"/>
  <c r="E69" i="12"/>
  <c r="F69" i="12"/>
  <c r="G69" i="12"/>
  <c r="H69" i="12" s="1"/>
  <c r="E70" i="12"/>
  <c r="F70" i="12"/>
  <c r="G70" i="12"/>
  <c r="H70" i="12"/>
  <c r="E71" i="12"/>
  <c r="F71" i="12"/>
  <c r="G71" i="12"/>
  <c r="H71" i="12"/>
  <c r="E72" i="12"/>
  <c r="F72" i="12"/>
  <c r="G72" i="12"/>
  <c r="H72" i="12"/>
  <c r="E73" i="12"/>
  <c r="F73" i="12"/>
  <c r="G73" i="12"/>
  <c r="H73" i="12"/>
  <c r="E74" i="12"/>
  <c r="F74" i="12"/>
  <c r="G74" i="12" s="1"/>
  <c r="H74" i="12" s="1"/>
  <c r="E75" i="12"/>
  <c r="F75" i="12"/>
  <c r="G75" i="12"/>
  <c r="H75" i="12"/>
  <c r="E76" i="12"/>
  <c r="F76" i="12"/>
  <c r="G76" i="12"/>
  <c r="H76" i="12"/>
  <c r="E77" i="12"/>
  <c r="F77" i="12"/>
  <c r="G77" i="12"/>
  <c r="H77" i="12" s="1"/>
  <c r="E78" i="12"/>
  <c r="F78" i="12"/>
  <c r="G78" i="12"/>
  <c r="H78" i="12"/>
  <c r="E79" i="12"/>
  <c r="F79" i="12"/>
  <c r="G79" i="12"/>
  <c r="H79" i="12"/>
  <c r="E80" i="12"/>
  <c r="F80" i="12"/>
  <c r="G80" i="12"/>
  <c r="H80" i="12"/>
  <c r="E81" i="12"/>
  <c r="F81" i="12"/>
  <c r="G81" i="12"/>
  <c r="H81" i="12"/>
  <c r="E82" i="12"/>
  <c r="F82" i="12"/>
  <c r="G82" i="12" s="1"/>
  <c r="H82" i="12" s="1"/>
  <c r="E83" i="12"/>
  <c r="F83" i="12"/>
  <c r="G83" i="12"/>
  <c r="H83" i="12"/>
  <c r="E84" i="12"/>
  <c r="F84" i="12"/>
  <c r="G84" i="12"/>
  <c r="H84" i="12"/>
  <c r="E85" i="12"/>
  <c r="F85" i="12"/>
  <c r="G85" i="12"/>
  <c r="H85" i="12" s="1"/>
  <c r="E86" i="12"/>
  <c r="F86" i="12"/>
  <c r="G86" i="12"/>
  <c r="H86" i="12"/>
  <c r="E87" i="12"/>
  <c r="F87" i="12"/>
  <c r="G87" i="12"/>
  <c r="H87" i="12"/>
  <c r="E88" i="12"/>
  <c r="F88" i="12"/>
  <c r="G88" i="12"/>
  <c r="H88" i="12"/>
  <c r="E89" i="12"/>
  <c r="F89" i="12"/>
  <c r="G89" i="12"/>
  <c r="H89" i="12"/>
  <c r="E90" i="12"/>
  <c r="F90" i="12"/>
  <c r="G90" i="12" s="1"/>
  <c r="H90" i="12" s="1"/>
  <c r="E91" i="12"/>
  <c r="F91" i="12"/>
  <c r="G91" i="12"/>
  <c r="H91" i="12"/>
  <c r="E92" i="12"/>
  <c r="F92" i="12"/>
  <c r="G92" i="12"/>
  <c r="H92" i="12"/>
  <c r="E93" i="12"/>
  <c r="F93" i="12"/>
  <c r="G93" i="12"/>
  <c r="H93" i="12" s="1"/>
  <c r="E94" i="12"/>
  <c r="F94" i="12"/>
  <c r="G94" i="12"/>
  <c r="H94" i="12"/>
  <c r="E95" i="12"/>
  <c r="F95" i="12"/>
  <c r="G95" i="12"/>
  <c r="H95" i="12"/>
  <c r="E96" i="12"/>
  <c r="F96" i="12"/>
  <c r="G96" i="12"/>
  <c r="H96" i="12"/>
  <c r="E2" i="11"/>
  <c r="F2" i="11"/>
  <c r="G2" i="11"/>
  <c r="H2" i="11"/>
  <c r="E3" i="11"/>
  <c r="F3" i="11"/>
  <c r="G3" i="11" s="1"/>
  <c r="H3" i="11" s="1"/>
  <c r="E4" i="11"/>
  <c r="F4" i="11"/>
  <c r="G4" i="11"/>
  <c r="H4" i="11"/>
  <c r="E5" i="11"/>
  <c r="F5" i="11"/>
  <c r="G5" i="11"/>
  <c r="H5" i="11"/>
  <c r="E6" i="11"/>
  <c r="F6" i="11"/>
  <c r="G6" i="11"/>
  <c r="H6" i="11" s="1"/>
  <c r="E7" i="11"/>
  <c r="F7" i="11"/>
  <c r="G7" i="11"/>
  <c r="H7" i="11"/>
  <c r="E8" i="11"/>
  <c r="F8" i="11"/>
  <c r="G8" i="11"/>
  <c r="H8" i="11"/>
  <c r="E9" i="11"/>
  <c r="F9" i="11"/>
  <c r="G9" i="11"/>
  <c r="H9" i="11"/>
  <c r="E10" i="11"/>
  <c r="F10" i="11"/>
  <c r="G10" i="11"/>
  <c r="H10" i="11"/>
  <c r="E11" i="11"/>
  <c r="F11" i="11"/>
  <c r="G11" i="11" s="1"/>
  <c r="H11" i="11" s="1"/>
  <c r="E12" i="11"/>
  <c r="F12" i="11"/>
  <c r="G12" i="11"/>
  <c r="H12" i="11"/>
  <c r="E13" i="11"/>
  <c r="F13" i="11"/>
  <c r="G13" i="11"/>
  <c r="H13" i="11"/>
  <c r="E14" i="11"/>
  <c r="F14" i="11"/>
  <c r="G14" i="11"/>
  <c r="H14" i="11" s="1"/>
  <c r="E15" i="11"/>
  <c r="F15" i="11"/>
  <c r="G15" i="11"/>
  <c r="H15" i="11"/>
  <c r="E16" i="11"/>
  <c r="F16" i="11"/>
  <c r="G16" i="11"/>
  <c r="H16" i="11"/>
  <c r="E17" i="11"/>
  <c r="F17" i="11"/>
  <c r="G17" i="11"/>
  <c r="H17" i="11"/>
  <c r="E18" i="11"/>
  <c r="F18" i="11"/>
  <c r="G18" i="11"/>
  <c r="H18" i="11"/>
  <c r="E19" i="11"/>
  <c r="F19" i="11"/>
  <c r="G19" i="11" s="1"/>
  <c r="H19" i="11" s="1"/>
  <c r="E20" i="11"/>
  <c r="F20" i="11"/>
  <c r="G20" i="11"/>
  <c r="H20" i="11"/>
  <c r="E21" i="11"/>
  <c r="F21" i="11"/>
  <c r="G21" i="11"/>
  <c r="H21" i="11"/>
  <c r="E22" i="11"/>
  <c r="F22" i="11"/>
  <c r="G22" i="11"/>
  <c r="H22" i="11" s="1"/>
  <c r="E23" i="11"/>
  <c r="F23" i="11"/>
  <c r="G23" i="11"/>
  <c r="H23" i="11"/>
  <c r="E24" i="11"/>
  <c r="F24" i="11"/>
  <c r="G24" i="11"/>
  <c r="H24" i="11"/>
  <c r="E25" i="11"/>
  <c r="F25" i="11"/>
  <c r="G25" i="11"/>
  <c r="H25" i="11"/>
  <c r="E26" i="11"/>
  <c r="F26" i="11"/>
  <c r="G26" i="11"/>
  <c r="H26" i="11"/>
  <c r="E27" i="11"/>
  <c r="F27" i="11"/>
  <c r="G27" i="11" s="1"/>
  <c r="H27" i="11" s="1"/>
  <c r="E28" i="11"/>
  <c r="F28" i="11"/>
  <c r="G28" i="11"/>
  <c r="H28" i="11"/>
  <c r="E29" i="11"/>
  <c r="F29" i="11"/>
  <c r="G29" i="11"/>
  <c r="H29" i="11"/>
  <c r="E30" i="11"/>
  <c r="F30" i="11"/>
  <c r="G30" i="11"/>
  <c r="H30" i="11" s="1"/>
  <c r="E31" i="11"/>
  <c r="F31" i="11"/>
  <c r="G31" i="11"/>
  <c r="H31" i="11"/>
  <c r="E32" i="11"/>
  <c r="F32" i="11"/>
  <c r="G32" i="11"/>
  <c r="H32" i="11"/>
  <c r="E33" i="11"/>
  <c r="F33" i="11"/>
  <c r="G33" i="11"/>
  <c r="H33" i="11"/>
  <c r="E34" i="11"/>
  <c r="F34" i="11"/>
  <c r="G34" i="11"/>
  <c r="H34" i="11"/>
  <c r="E35" i="11"/>
  <c r="F35" i="11"/>
  <c r="G35" i="11" s="1"/>
  <c r="H35" i="11" s="1"/>
  <c r="E36" i="11"/>
  <c r="F36" i="11"/>
  <c r="G36" i="11"/>
  <c r="H36" i="11"/>
  <c r="E37" i="11"/>
  <c r="F37" i="11"/>
  <c r="G37" i="11"/>
  <c r="H37" i="11"/>
  <c r="E38" i="11"/>
  <c r="F38" i="11"/>
  <c r="G38" i="11"/>
  <c r="H38" i="11" s="1"/>
  <c r="E39" i="11"/>
  <c r="F39" i="11"/>
  <c r="G39" i="11"/>
  <c r="H39" i="11"/>
  <c r="E40" i="11"/>
  <c r="F40" i="11"/>
  <c r="G40" i="11"/>
  <c r="H40" i="11"/>
  <c r="E41" i="11"/>
  <c r="F41" i="11"/>
  <c r="G41" i="11"/>
  <c r="H41" i="11"/>
  <c r="E42" i="11"/>
  <c r="F42" i="11"/>
  <c r="G42" i="11"/>
  <c r="H42" i="11"/>
  <c r="E43" i="11"/>
  <c r="F43" i="11"/>
  <c r="G43" i="11" s="1"/>
  <c r="H43" i="11" s="1"/>
  <c r="E44" i="11"/>
  <c r="F44" i="11"/>
  <c r="G44" i="11"/>
  <c r="H44" i="11"/>
  <c r="E45" i="11"/>
  <c r="F45" i="11"/>
  <c r="G45" i="11"/>
  <c r="H45" i="11"/>
  <c r="E46" i="11"/>
  <c r="F46" i="11"/>
  <c r="G46" i="11"/>
  <c r="H46" i="11" s="1"/>
  <c r="E47" i="11"/>
  <c r="F47" i="11"/>
  <c r="G47" i="11"/>
  <c r="H47" i="11"/>
  <c r="E48" i="11"/>
  <c r="F48" i="11"/>
  <c r="G48" i="11"/>
  <c r="H48" i="11"/>
  <c r="E49" i="11"/>
  <c r="F49" i="11"/>
  <c r="G49" i="11"/>
  <c r="H49" i="11"/>
  <c r="E50" i="11"/>
  <c r="F50" i="11"/>
  <c r="G50" i="11"/>
  <c r="H50" i="11"/>
  <c r="E51" i="11"/>
  <c r="F51" i="11"/>
  <c r="G51" i="11" s="1"/>
  <c r="H51" i="11" s="1"/>
  <c r="E52" i="11"/>
  <c r="F52" i="11"/>
  <c r="G52" i="11"/>
  <c r="H52" i="11"/>
  <c r="E53" i="11"/>
  <c r="F53" i="11"/>
  <c r="G53" i="11"/>
  <c r="H53" i="11"/>
  <c r="E54" i="11"/>
  <c r="F54" i="11"/>
  <c r="G54" i="11"/>
  <c r="H54" i="11" s="1"/>
  <c r="E55" i="11"/>
  <c r="F55" i="11"/>
  <c r="G55" i="11"/>
  <c r="H55" i="11"/>
  <c r="E56" i="11"/>
  <c r="F56" i="11"/>
  <c r="G56" i="11"/>
  <c r="H56" i="11"/>
  <c r="E57" i="11"/>
  <c r="F57" i="11"/>
  <c r="G57" i="11"/>
  <c r="H57" i="11"/>
  <c r="E58" i="11"/>
  <c r="F58" i="11"/>
  <c r="G58" i="11"/>
  <c r="H58" i="11"/>
  <c r="E59" i="11"/>
  <c r="F59" i="11"/>
  <c r="G59" i="11" s="1"/>
  <c r="H59" i="11" s="1"/>
  <c r="E60" i="11"/>
  <c r="F60" i="11"/>
  <c r="G60" i="11"/>
  <c r="H60" i="11"/>
  <c r="E61" i="11"/>
  <c r="F61" i="11"/>
  <c r="G61" i="11"/>
  <c r="H61" i="11"/>
  <c r="E62" i="11"/>
  <c r="F62" i="11"/>
  <c r="G62" i="11"/>
  <c r="H62" i="11" s="1"/>
  <c r="E63" i="11"/>
  <c r="F63" i="11"/>
  <c r="G63" i="11"/>
  <c r="H63" i="11"/>
  <c r="E64" i="11"/>
  <c r="F64" i="11"/>
  <c r="G64" i="11"/>
  <c r="H64" i="11"/>
  <c r="E65" i="11"/>
  <c r="F65" i="11"/>
  <c r="G65" i="11"/>
  <c r="H65" i="11"/>
  <c r="E66" i="11"/>
  <c r="F66" i="11"/>
  <c r="G66" i="11"/>
  <c r="H66" i="11"/>
  <c r="E67" i="11"/>
  <c r="F67" i="11"/>
  <c r="G67" i="11" s="1"/>
  <c r="H67" i="11" s="1"/>
  <c r="E68" i="11"/>
  <c r="F68" i="11"/>
  <c r="G68" i="11"/>
  <c r="H68" i="11"/>
  <c r="E69" i="11"/>
  <c r="F69" i="11"/>
  <c r="G69" i="11"/>
  <c r="H69" i="11"/>
  <c r="E70" i="11"/>
  <c r="F70" i="11"/>
  <c r="G70" i="11"/>
  <c r="H70" i="11" s="1"/>
  <c r="E71" i="11"/>
  <c r="F71" i="11"/>
  <c r="G71" i="11"/>
  <c r="H71" i="11"/>
  <c r="E72" i="11"/>
  <c r="F72" i="11"/>
  <c r="G72" i="11"/>
  <c r="H72" i="11"/>
  <c r="E73" i="11"/>
  <c r="F73" i="11"/>
  <c r="G73" i="11"/>
  <c r="H73" i="11"/>
  <c r="E74" i="11"/>
  <c r="F74" i="11"/>
  <c r="G74" i="11"/>
  <c r="H74" i="11"/>
  <c r="E75" i="11"/>
  <c r="F75" i="11"/>
  <c r="G75" i="11" s="1"/>
  <c r="H75" i="11" s="1"/>
  <c r="E76" i="11"/>
  <c r="F76" i="11"/>
  <c r="G76" i="11"/>
  <c r="H76" i="11"/>
  <c r="E77" i="11"/>
  <c r="F77" i="11"/>
  <c r="G77" i="11"/>
  <c r="H77" i="11"/>
  <c r="E78" i="11"/>
  <c r="F78" i="11"/>
  <c r="G78" i="11"/>
  <c r="H78" i="11" s="1"/>
  <c r="E79" i="11"/>
  <c r="F79" i="11"/>
  <c r="G79" i="11"/>
  <c r="H79" i="11"/>
  <c r="E80" i="11"/>
  <c r="F80" i="11"/>
  <c r="G80" i="11"/>
  <c r="H80" i="11"/>
  <c r="E81" i="11"/>
  <c r="F81" i="11"/>
  <c r="G81" i="11"/>
  <c r="H81" i="11"/>
  <c r="E82" i="11"/>
  <c r="F82" i="11"/>
  <c r="G82" i="11"/>
  <c r="H82" i="11"/>
  <c r="E83" i="11"/>
  <c r="F83" i="11"/>
  <c r="G83" i="11" s="1"/>
  <c r="H83" i="11" s="1"/>
  <c r="E84" i="11"/>
  <c r="F84" i="11"/>
  <c r="G84" i="11"/>
  <c r="H84" i="11"/>
  <c r="E85" i="11"/>
  <c r="F85" i="11"/>
  <c r="G85" i="11"/>
  <c r="H85" i="11"/>
  <c r="E86" i="11"/>
  <c r="F86" i="11"/>
  <c r="G86" i="11"/>
  <c r="H86" i="11" s="1"/>
  <c r="E87" i="11"/>
  <c r="F87" i="11"/>
  <c r="G87" i="11"/>
  <c r="H87" i="11"/>
  <c r="E88" i="11"/>
  <c r="F88" i="11"/>
  <c r="G88" i="11"/>
  <c r="H88" i="11"/>
  <c r="E89" i="11"/>
  <c r="F89" i="11"/>
  <c r="G89" i="11"/>
  <c r="H89" i="11"/>
  <c r="E90" i="11"/>
  <c r="F90" i="11"/>
  <c r="G90" i="11"/>
  <c r="H90" i="11"/>
  <c r="E91" i="11"/>
  <c r="F91" i="11"/>
  <c r="G91" i="11"/>
  <c r="H91" i="11" s="1"/>
  <c r="E92" i="11"/>
  <c r="F92" i="11"/>
  <c r="G92" i="11"/>
  <c r="H92" i="11"/>
  <c r="E93" i="11"/>
  <c r="F93" i="11"/>
  <c r="G93" i="11"/>
  <c r="H93" i="11"/>
  <c r="E94" i="11"/>
  <c r="F94" i="11"/>
  <c r="G94" i="11"/>
  <c r="H94" i="11" s="1"/>
  <c r="E95" i="11"/>
  <c r="F95" i="11"/>
  <c r="G95" i="11"/>
  <c r="H95" i="11"/>
  <c r="E96" i="11"/>
  <c r="F96" i="11"/>
  <c r="G96" i="11"/>
  <c r="H96" i="11"/>
  <c r="AC2" i="10"/>
  <c r="AD2" i="10"/>
  <c r="AE2" i="10"/>
  <c r="AF2" i="10"/>
  <c r="AC3" i="10"/>
  <c r="AD3" i="10"/>
  <c r="AE3" i="10"/>
  <c r="AF3" i="10"/>
  <c r="AC4" i="10"/>
  <c r="AD4" i="10"/>
  <c r="AE4" i="10"/>
  <c r="AF4" i="10" s="1"/>
  <c r="AC5" i="10"/>
  <c r="AD5" i="10"/>
  <c r="AE5" i="10"/>
  <c r="AF5" i="10"/>
  <c r="AC6" i="10"/>
  <c r="AD6" i="10"/>
  <c r="AE6" i="10"/>
  <c r="AF6" i="10"/>
  <c r="AC7" i="10"/>
  <c r="AD7" i="10"/>
  <c r="AE7" i="10"/>
  <c r="AF7" i="10" s="1"/>
  <c r="AC8" i="10"/>
  <c r="AD8" i="10"/>
  <c r="AE8" i="10"/>
  <c r="AF8" i="10"/>
  <c r="AC9" i="10"/>
  <c r="AD9" i="10"/>
  <c r="AE9" i="10"/>
  <c r="AF9" i="10"/>
  <c r="AC10" i="10"/>
  <c r="AD10" i="10"/>
  <c r="AE10" i="10"/>
  <c r="AF10" i="10"/>
  <c r="AC11" i="10"/>
  <c r="AD11" i="10"/>
  <c r="AE11" i="10"/>
  <c r="AF11" i="10"/>
  <c r="AC12" i="10"/>
  <c r="AD12" i="10"/>
  <c r="AE12" i="10"/>
  <c r="AF12" i="10" s="1"/>
  <c r="AC13" i="10"/>
  <c r="AD13" i="10"/>
  <c r="AE13" i="10"/>
  <c r="AF13" i="10"/>
  <c r="AC14" i="10"/>
  <c r="AD14" i="10"/>
  <c r="AE14" i="10"/>
  <c r="AF14" i="10"/>
  <c r="AC15" i="10"/>
  <c r="AD15" i="10"/>
  <c r="AE15" i="10"/>
  <c r="AF15" i="10" s="1"/>
  <c r="AC16" i="10"/>
  <c r="AD16" i="10"/>
  <c r="AE16" i="10"/>
  <c r="AF16" i="10"/>
  <c r="AC17" i="10"/>
  <c r="AD17" i="10"/>
  <c r="AE17" i="10"/>
  <c r="AF17" i="10"/>
  <c r="AC18" i="10"/>
  <c r="AD18" i="10"/>
  <c r="AE18" i="10"/>
  <c r="AF18" i="10"/>
  <c r="AC19" i="10"/>
  <c r="AD19" i="10"/>
  <c r="AE19" i="10"/>
  <c r="AF19" i="10"/>
  <c r="AC20" i="10"/>
  <c r="AD20" i="10"/>
  <c r="AE20" i="10"/>
  <c r="AF20" i="10" s="1"/>
  <c r="AC21" i="10"/>
  <c r="AD21" i="10"/>
  <c r="AE21" i="10"/>
  <c r="AF21" i="10"/>
  <c r="AC22" i="10"/>
  <c r="AD22" i="10"/>
  <c r="AE22" i="10"/>
  <c r="AF22" i="10"/>
  <c r="AC23" i="10"/>
  <c r="AD23" i="10"/>
  <c r="AE23" i="10"/>
  <c r="AF23" i="10" s="1"/>
  <c r="AC24" i="10"/>
  <c r="AD24" i="10"/>
  <c r="AE24" i="10"/>
  <c r="AF24" i="10"/>
  <c r="AC25" i="10"/>
  <c r="AD25" i="10"/>
  <c r="AE25" i="10"/>
  <c r="AF25" i="10"/>
  <c r="AC26" i="10"/>
  <c r="AD26" i="10"/>
  <c r="AE26" i="10"/>
  <c r="AF26" i="10"/>
  <c r="AC27" i="10"/>
  <c r="AD27" i="10"/>
  <c r="AE27" i="10"/>
  <c r="AF27" i="10"/>
  <c r="AC28" i="10"/>
  <c r="AD28" i="10"/>
  <c r="AE28" i="10"/>
  <c r="AF28" i="10" s="1"/>
  <c r="AC29" i="10"/>
  <c r="AD29" i="10"/>
  <c r="AE29" i="10"/>
  <c r="AF29" i="10"/>
  <c r="AC30" i="10"/>
  <c r="AD30" i="10"/>
  <c r="AE30" i="10"/>
  <c r="AF30" i="10"/>
  <c r="AC31" i="10"/>
  <c r="AD31" i="10"/>
  <c r="AE31" i="10"/>
  <c r="AF31" i="10" s="1"/>
  <c r="AC32" i="10"/>
  <c r="AD32" i="10"/>
  <c r="AE32" i="10"/>
  <c r="AF32" i="10"/>
  <c r="AC33" i="10"/>
  <c r="AD33" i="10"/>
  <c r="AE33" i="10"/>
  <c r="AF33" i="10"/>
  <c r="AC34" i="10"/>
  <c r="AD34" i="10"/>
  <c r="AE34" i="10"/>
  <c r="AF34" i="10"/>
  <c r="AC35" i="10"/>
  <c r="AD35" i="10"/>
  <c r="AE35" i="10"/>
  <c r="AF35" i="10"/>
  <c r="AC36" i="10"/>
  <c r="AD36" i="10"/>
  <c r="AE36" i="10"/>
  <c r="AF36" i="10" s="1"/>
  <c r="AC37" i="10"/>
  <c r="AD37" i="10"/>
  <c r="AE37" i="10"/>
  <c r="AF37" i="10"/>
  <c r="AC38" i="10"/>
  <c r="AD38" i="10"/>
  <c r="AE38" i="10"/>
  <c r="AF38" i="10"/>
  <c r="AC39" i="10"/>
  <c r="AD39" i="10"/>
  <c r="AE39" i="10"/>
  <c r="AF39" i="10" s="1"/>
  <c r="AC40" i="10"/>
  <c r="AD40" i="10"/>
  <c r="AE40" i="10"/>
  <c r="AF40" i="10"/>
  <c r="AC41" i="10"/>
  <c r="AD41" i="10"/>
  <c r="AE41" i="10"/>
  <c r="AF41" i="10"/>
  <c r="AC42" i="10"/>
  <c r="AD42" i="10"/>
  <c r="AE42" i="10"/>
  <c r="AF42" i="10"/>
  <c r="AC43" i="10"/>
  <c r="AD43" i="10"/>
  <c r="AE43" i="10"/>
  <c r="AF43" i="10"/>
  <c r="AC44" i="10"/>
  <c r="AD44" i="10"/>
  <c r="AE44" i="10"/>
  <c r="AF44" i="10" s="1"/>
  <c r="AC45" i="10"/>
  <c r="AD45" i="10"/>
  <c r="AE45" i="10"/>
  <c r="AF45" i="10"/>
  <c r="AC46" i="10"/>
  <c r="AD46" i="10"/>
  <c r="AE46" i="10"/>
  <c r="AF46" i="10"/>
  <c r="AC47" i="10"/>
  <c r="AD47" i="10"/>
  <c r="AE47" i="10"/>
  <c r="AF47" i="10" s="1"/>
  <c r="AC48" i="10"/>
  <c r="AD48" i="10"/>
  <c r="AE48" i="10"/>
  <c r="AF48" i="10"/>
  <c r="AC49" i="10"/>
  <c r="AD49" i="10"/>
  <c r="AE49" i="10"/>
  <c r="AF49" i="10"/>
  <c r="AC50" i="10"/>
  <c r="AD50" i="10"/>
  <c r="AE50" i="10"/>
  <c r="AF50" i="10"/>
  <c r="AC51" i="10"/>
  <c r="AD51" i="10"/>
  <c r="AE51" i="10"/>
  <c r="AF51" i="10"/>
  <c r="AC52" i="10"/>
  <c r="AD52" i="10"/>
  <c r="AE52" i="10"/>
  <c r="AF52" i="10" s="1"/>
  <c r="AC53" i="10"/>
  <c r="AD53" i="10"/>
  <c r="AE53" i="10"/>
  <c r="AF53" i="10"/>
  <c r="AC54" i="10"/>
  <c r="AD54" i="10"/>
  <c r="AE54" i="10"/>
  <c r="AF54" i="10"/>
  <c r="AC55" i="10"/>
  <c r="AD55" i="10"/>
  <c r="AE55" i="10"/>
  <c r="AF55" i="10" s="1"/>
  <c r="AC56" i="10"/>
  <c r="AD56" i="10"/>
  <c r="AE56" i="10"/>
  <c r="AF56" i="10"/>
  <c r="AC57" i="10"/>
  <c r="AD57" i="10"/>
  <c r="AE57" i="10"/>
  <c r="AF57" i="10"/>
  <c r="AC58" i="10"/>
  <c r="AD58" i="10"/>
  <c r="AE58" i="10"/>
  <c r="AF58" i="10"/>
  <c r="AC59" i="10"/>
  <c r="AD59" i="10"/>
  <c r="AE59" i="10"/>
  <c r="AF59" i="10"/>
  <c r="AC60" i="10"/>
  <c r="AD60" i="10"/>
  <c r="AE60" i="10"/>
  <c r="AF60" i="10" s="1"/>
  <c r="AC61" i="10"/>
  <c r="AD61" i="10"/>
  <c r="AE61" i="10"/>
  <c r="AF61" i="10"/>
  <c r="AC62" i="10"/>
  <c r="AD62" i="10"/>
  <c r="AE62" i="10"/>
  <c r="AF62" i="10"/>
  <c r="AC63" i="10"/>
  <c r="AD63" i="10"/>
  <c r="AE63" i="10"/>
  <c r="AF63" i="10" s="1"/>
  <c r="AC64" i="10"/>
  <c r="AD64" i="10"/>
  <c r="AE64" i="10"/>
  <c r="AF64" i="10"/>
  <c r="AC65" i="10"/>
  <c r="AD65" i="10"/>
  <c r="AE65" i="10"/>
  <c r="AF65" i="10"/>
  <c r="AC66" i="10"/>
  <c r="AD66" i="10"/>
  <c r="AE66" i="10"/>
  <c r="AF66" i="10"/>
  <c r="AC67" i="10"/>
  <c r="AD67" i="10"/>
  <c r="AE67" i="10"/>
  <c r="AF67" i="10"/>
  <c r="AC68" i="10"/>
  <c r="AD68" i="10"/>
  <c r="AE68" i="10"/>
  <c r="AF68" i="10" s="1"/>
  <c r="AC69" i="10"/>
  <c r="AD69" i="10"/>
  <c r="AE69" i="10"/>
  <c r="AF69" i="10"/>
  <c r="AC70" i="10"/>
  <c r="AD70" i="10"/>
  <c r="AE70" i="10"/>
  <c r="AF70" i="10"/>
  <c r="AC71" i="10"/>
  <c r="AD71" i="10"/>
  <c r="AE71" i="10"/>
  <c r="AF71" i="10" s="1"/>
  <c r="AC72" i="10"/>
  <c r="AD72" i="10"/>
  <c r="AE72" i="10"/>
  <c r="AF72" i="10"/>
  <c r="AC73" i="10"/>
  <c r="AD73" i="10"/>
  <c r="AE73" i="10"/>
  <c r="AF73" i="10"/>
  <c r="AC74" i="10"/>
  <c r="AD74" i="10"/>
  <c r="AE74" i="10"/>
  <c r="AF74" i="10"/>
  <c r="AC75" i="10"/>
  <c r="AD75" i="10"/>
  <c r="AE75" i="10"/>
  <c r="AF75" i="10"/>
  <c r="AC76" i="10"/>
  <c r="AD76" i="10"/>
  <c r="AE76" i="10"/>
  <c r="AF76" i="10" s="1"/>
  <c r="AC77" i="10"/>
  <c r="AD77" i="10"/>
  <c r="AE77" i="10"/>
  <c r="AF77" i="10"/>
  <c r="AC78" i="10"/>
  <c r="AD78" i="10"/>
  <c r="AE78" i="10"/>
  <c r="AF78" i="10"/>
  <c r="AC79" i="10"/>
  <c r="AD79" i="10"/>
  <c r="AE79" i="10"/>
  <c r="AF79" i="10" s="1"/>
  <c r="AC80" i="10"/>
  <c r="AD80" i="10"/>
  <c r="AE80" i="10"/>
  <c r="AF80" i="10"/>
  <c r="AC81" i="10"/>
  <c r="AD81" i="10"/>
  <c r="AE81" i="10"/>
  <c r="AF81" i="10"/>
  <c r="AC82" i="10"/>
  <c r="AD82" i="10"/>
  <c r="AE82" i="10"/>
  <c r="AF82" i="10"/>
  <c r="AC83" i="10"/>
  <c r="AD83" i="10"/>
  <c r="AE83" i="10"/>
  <c r="AF83" i="10"/>
  <c r="AC84" i="10"/>
  <c r="AD84" i="10"/>
  <c r="AE84" i="10"/>
  <c r="AF84" i="10" s="1"/>
  <c r="AC85" i="10"/>
  <c r="AD85" i="10"/>
  <c r="AE85" i="10"/>
  <c r="AF85" i="10"/>
  <c r="AC86" i="10"/>
  <c r="AD86" i="10"/>
  <c r="AE86" i="10"/>
  <c r="AF86" i="10"/>
  <c r="AC87" i="10"/>
  <c r="AD87" i="10"/>
  <c r="AE87" i="10"/>
  <c r="AF87" i="10" s="1"/>
  <c r="AC88" i="10"/>
  <c r="AD88" i="10"/>
  <c r="AE88" i="10"/>
  <c r="AF88" i="10"/>
  <c r="AC89" i="10"/>
  <c r="AD89" i="10"/>
  <c r="AE89" i="10"/>
  <c r="AF89" i="10"/>
  <c r="AC90" i="10"/>
  <c r="AD90" i="10"/>
  <c r="AE90" i="10"/>
  <c r="AF90" i="10"/>
  <c r="AC91" i="10"/>
  <c r="AD91" i="10"/>
  <c r="AE91" i="10"/>
  <c r="AF91" i="10"/>
  <c r="AC92" i="10"/>
  <c r="AD92" i="10"/>
  <c r="AE92" i="10"/>
  <c r="AF92" i="10" s="1"/>
  <c r="AC93" i="10"/>
  <c r="AD93" i="10"/>
  <c r="AE93" i="10"/>
  <c r="AF93" i="10"/>
  <c r="AC94" i="10"/>
  <c r="AD94" i="10"/>
  <c r="AE94" i="10"/>
  <c r="AF94" i="10"/>
  <c r="AC95" i="10"/>
  <c r="AD95" i="10"/>
  <c r="AE95" i="10"/>
  <c r="AF95" i="10" s="1"/>
  <c r="AC96" i="10"/>
  <c r="AD96" i="10"/>
  <c r="AE96" i="10"/>
  <c r="AF96" i="10"/>
</calcChain>
</file>

<file path=xl/sharedStrings.xml><?xml version="1.0" encoding="utf-8"?>
<sst xmlns="http://schemas.openxmlformats.org/spreadsheetml/2006/main" count="3829" uniqueCount="401">
  <si>
    <t>CWE ID</t>
  </si>
  <si>
    <t>CVE</t>
  </si>
  <si>
    <t>Author</t>
  </si>
  <si>
    <t xml:space="preserve">Package </t>
  </si>
  <si>
    <t>Tag</t>
  </si>
  <si>
    <t>Recall</t>
  </si>
  <si>
    <t>Alerts</t>
  </si>
  <si>
    <t>Paths</t>
  </si>
  <si>
    <t>TP Alerts</t>
  </si>
  <si>
    <t>TP Paths</t>
  </si>
  <si>
    <t>Precision</t>
  </si>
  <si>
    <t>F1</t>
  </si>
  <si>
    <t>CWE-022</t>
  </si>
  <si>
    <t>CVE-2011-4367</t>
  </si>
  <si>
    <t>apache</t>
  </si>
  <si>
    <t>myfaces</t>
  </si>
  <si>
    <t>2.0.11</t>
  </si>
  <si>
    <t>CWE-078</t>
  </si>
  <si>
    <t>CVE-2013-7285</t>
  </si>
  <si>
    <t>x-stream</t>
  </si>
  <si>
    <t>xstream</t>
  </si>
  <si>
    <t>1.4.6</t>
  </si>
  <si>
    <t>CVE-2014-3576</t>
  </si>
  <si>
    <t>activemq</t>
  </si>
  <si>
    <t>5.10.2</t>
  </si>
  <si>
    <t>CWE-079</t>
  </si>
  <si>
    <t>CVE-2014-3656</t>
  </si>
  <si>
    <t>keycloak</t>
  </si>
  <si>
    <t>1.0.5.Final</t>
  </si>
  <si>
    <t>CVE-2014-7816</t>
  </si>
  <si>
    <t>undertow-io</t>
  </si>
  <si>
    <t>undertow</t>
  </si>
  <si>
    <t>1.0.16.Final</t>
  </si>
  <si>
    <t>CVE-2016-10006</t>
  </si>
  <si>
    <t>nahsra</t>
  </si>
  <si>
    <t>antisamy</t>
  </si>
  <si>
    <t>1.5.3</t>
  </si>
  <si>
    <t>CVE-2016-10726</t>
  </si>
  <si>
    <t>DSpace</t>
  </si>
  <si>
    <t>CVE-2016-5394</t>
  </si>
  <si>
    <t>sling-org-apache-sling-xss</t>
  </si>
  <si>
    <t>1.0.8</t>
  </si>
  <si>
    <t>N/A</t>
  </si>
  <si>
    <t>CVE-2016-6812</t>
  </si>
  <si>
    <t>asf</t>
  </si>
  <si>
    <t>cxf</t>
  </si>
  <si>
    <t>3.0.11</t>
  </si>
  <si>
    <t>CVE-2016-9177</t>
  </si>
  <si>
    <t>perwendel</t>
  </si>
  <si>
    <t>spark</t>
  </si>
  <si>
    <t>2.5.1</t>
  </si>
  <si>
    <t>CVE-2017-1000487</t>
  </si>
  <si>
    <t>codehaus-plexus</t>
  </si>
  <si>
    <t>plexus-utils</t>
  </si>
  <si>
    <t>3.0.15</t>
  </si>
  <si>
    <t>CVE-2017-14735</t>
  </si>
  <si>
    <t>1.5.6</t>
  </si>
  <si>
    <t>CVE-2018-1000129</t>
  </si>
  <si>
    <t>rhuss</t>
  </si>
  <si>
    <t>jolokia</t>
  </si>
  <si>
    <t>1.4.0</t>
  </si>
  <si>
    <t>CVE-2018-1000850</t>
  </si>
  <si>
    <t>square</t>
  </si>
  <si>
    <t>retrofit</t>
  </si>
  <si>
    <t>2.4.0</t>
  </si>
  <si>
    <t>CVE-2018-1002200</t>
  </si>
  <si>
    <t>plexus-archiver</t>
  </si>
  <si>
    <t>CVE-2018-1002201</t>
  </si>
  <si>
    <t>zeroturnaround</t>
  </si>
  <si>
    <t>zt-zip</t>
  </si>
  <si>
    <t>CVE-2018-1002202</t>
  </si>
  <si>
    <t>srikanth-lingala</t>
  </si>
  <si>
    <t>zip4j</t>
  </si>
  <si>
    <t>1.3.2</t>
  </si>
  <si>
    <t>CVE-2018-1047</t>
  </si>
  <si>
    <t>wildfly</t>
  </si>
  <si>
    <t>11.0.0.Final</t>
  </si>
  <si>
    <t>CVE-2018-11762</t>
  </si>
  <si>
    <t>tika</t>
  </si>
  <si>
    <t>CVE-2018-12036</t>
  </si>
  <si>
    <t>jeremylong</t>
  </si>
  <si>
    <t>DependencyCheck</t>
  </si>
  <si>
    <t>3.1.2</t>
  </si>
  <si>
    <t>CVE-2018-12542</t>
  </si>
  <si>
    <t>vert-x3</t>
  </si>
  <si>
    <t>vertx-web</t>
  </si>
  <si>
    <t>3.5.3.CR1</t>
  </si>
  <si>
    <t>CWE-094</t>
  </si>
  <si>
    <t>CVE-2018-1260</t>
  </si>
  <si>
    <t>SpringSource</t>
  </si>
  <si>
    <t>spring-security-oauth</t>
  </si>
  <si>
    <t>2.3.2.RELEASE</t>
  </si>
  <si>
    <t>CVE-2018-17297</t>
  </si>
  <si>
    <t>dromara</t>
  </si>
  <si>
    <t>hutool</t>
  </si>
  <si>
    <t>4.1.11</t>
  </si>
  <si>
    <t>CVE-2018-8041</t>
  </si>
  <si>
    <t>camel</t>
  </si>
  <si>
    <t>2.20.3</t>
  </si>
  <si>
    <t>CVE-2018-9159</t>
  </si>
  <si>
    <t>2.7.1</t>
  </si>
  <si>
    <t>CVE-2019-0194</t>
  </si>
  <si>
    <t>2.21.4</t>
  </si>
  <si>
    <t>CVE-2019-0207</t>
  </si>
  <si>
    <t>tapestry-5</t>
  </si>
  <si>
    <t>5.4.4</t>
  </si>
  <si>
    <t>CVE-2019-0222</t>
  </si>
  <si>
    <t>5.15.8</t>
  </si>
  <si>
    <t>CVE-2019-10076</t>
  </si>
  <si>
    <t>jspwiki</t>
  </si>
  <si>
    <t>2.11.0.M3</t>
  </si>
  <si>
    <t>CVE-2019-10077</t>
  </si>
  <si>
    <t>CVE-2019-10078</t>
  </si>
  <si>
    <t>CVE-2019-10219</t>
  </si>
  <si>
    <t>hibernate</t>
  </si>
  <si>
    <t>hibernate-validator</t>
  </si>
  <si>
    <t>6.0.17.Final</t>
  </si>
  <si>
    <t>CVE-2019-17572</t>
  </si>
  <si>
    <t>rocketmq</t>
  </si>
  <si>
    <t>4.6.0</t>
  </si>
  <si>
    <t>CVE-2019-17573</t>
  </si>
  <si>
    <t>3.2.11</t>
  </si>
  <si>
    <t>CVE-2019-17640</t>
  </si>
  <si>
    <t>3.9.3</t>
  </si>
  <si>
    <t>CVE-2020-11998</t>
  </si>
  <si>
    <t>5.15.12</t>
  </si>
  <si>
    <t>CVE-2020-13973</t>
  </si>
  <si>
    <t>OWASP</t>
  </si>
  <si>
    <t>json-sanitizer</t>
  </si>
  <si>
    <t>1.2.0</t>
  </si>
  <si>
    <t>CVE-2020-17519</t>
  </si>
  <si>
    <t>flink</t>
  </si>
  <si>
    <t>1.11.2</t>
  </si>
  <si>
    <t>CVE-2020-17530</t>
  </si>
  <si>
    <t>struts</t>
  </si>
  <si>
    <t>2.5.25</t>
  </si>
  <si>
    <t>CVE-2020-26217</t>
  </si>
  <si>
    <t>1.4.14</t>
  </si>
  <si>
    <t>CVE-2020-29204</t>
  </si>
  <si>
    <t>xuxueli</t>
  </si>
  <si>
    <t>xxl-job</t>
  </si>
  <si>
    <t>2.2.0</t>
  </si>
  <si>
    <t>CVE-2020-35460</t>
  </si>
  <si>
    <t>joniles</t>
  </si>
  <si>
    <t>mpxj</t>
  </si>
  <si>
    <t>8.3.4</t>
  </si>
  <si>
    <t>CVE-2020-5405</t>
  </si>
  <si>
    <t>spring-cloud</t>
  </si>
  <si>
    <t>spring-cloud-config</t>
  </si>
  <si>
    <t>2.1.6.RELEASE</t>
  </si>
  <si>
    <t>CVE-2020-8570</t>
  </si>
  <si>
    <t>kubernetes-client</t>
  </si>
  <si>
    <t>java</t>
  </si>
  <si>
    <t>client-java-parent-9.0.1</t>
  </si>
  <si>
    <t>CVE-2021-21345</t>
  </si>
  <si>
    <t>1.4.15</t>
  </si>
  <si>
    <t>CVE-2021-29425</t>
  </si>
  <si>
    <t>commons-io</t>
  </si>
  <si>
    <t>CVE-2021-30180</t>
  </si>
  <si>
    <t>dubbo</t>
  </si>
  <si>
    <t>2.7.9</t>
  </si>
  <si>
    <t>CVE-2021-30181</t>
  </si>
  <si>
    <t>incubator-dubbo</t>
  </si>
  <si>
    <t>2.6.8</t>
  </si>
  <si>
    <t>CVE-2021-41269</t>
  </si>
  <si>
    <t>jmrozanec</t>
  </si>
  <si>
    <t>cron-utils</t>
  </si>
  <si>
    <t>9.1.5</t>
  </si>
  <si>
    <t>CVE-2021-4178</t>
  </si>
  <si>
    <t>fabric8io</t>
  </si>
  <si>
    <t>5.0.2</t>
  </si>
  <si>
    <t>CVE-2021-44667</t>
  </si>
  <si>
    <t>alibaba</t>
  </si>
  <si>
    <t>nacos</t>
  </si>
  <si>
    <t>2.0.3</t>
  </si>
  <si>
    <t>CVE-2022-1274</t>
  </si>
  <si>
    <t>20.0.4</t>
  </si>
  <si>
    <t>CVE-2022-22932</t>
  </si>
  <si>
    <t>karaf</t>
  </si>
  <si>
    <t>4.3.5</t>
  </si>
  <si>
    <t>CVE-2022-22965</t>
  </si>
  <si>
    <t>spring-projects</t>
  </si>
  <si>
    <t>spring-framework</t>
  </si>
  <si>
    <t>5.2.19.RELEASE</t>
  </si>
  <si>
    <t>CVE-2022-23082</t>
  </si>
  <si>
    <t>whitesource</t>
  </si>
  <si>
    <t>curekit</t>
  </si>
  <si>
    <t>1.1.3</t>
  </si>
  <si>
    <t>CVE-2022-23457</t>
  </si>
  <si>
    <t>ESAPI</t>
  </si>
  <si>
    <t>esapi-java-legacy</t>
  </si>
  <si>
    <t>2.2.3.1</t>
  </si>
  <si>
    <t>CVE-2022-24891</t>
  </si>
  <si>
    <t>CVE-2022-24897</t>
  </si>
  <si>
    <t>xwiki</t>
  </si>
  <si>
    <t>xwiki-commons</t>
  </si>
  <si>
    <t>12.6.6</t>
  </si>
  <si>
    <t>CVE-2022-25842</t>
  </si>
  <si>
    <t>one-java-agent</t>
  </si>
  <si>
    <t>0.0.1</t>
  </si>
  <si>
    <t>CVE-2022-26049</t>
  </si>
  <si>
    <t>diffplug</t>
  </si>
  <si>
    <t>goomph</t>
  </si>
  <si>
    <t>3.37.1</t>
  </si>
  <si>
    <t>CVE-2022-26884</t>
  </si>
  <si>
    <t>dolphinscheduler</t>
  </si>
  <si>
    <t>2.0.5</t>
  </si>
  <si>
    <t>CVE-2022-28367</t>
  </si>
  <si>
    <t>1.6.5</t>
  </si>
  <si>
    <t>CVE-2022-29577</t>
  </si>
  <si>
    <t>1.6.6.1</t>
  </si>
  <si>
    <t>CVE-2022-31159</t>
  </si>
  <si>
    <t>aws</t>
  </si>
  <si>
    <t>aws-sdk-java</t>
  </si>
  <si>
    <t>1.12.260</t>
  </si>
  <si>
    <t>CVE-2022-31192</t>
  </si>
  <si>
    <t>CVE-2022-31194</t>
  </si>
  <si>
    <t>CVE-2022-31195</t>
  </si>
  <si>
    <t>CVE-2022-32287</t>
  </si>
  <si>
    <t>uima-uimaj</t>
  </si>
  <si>
    <t>3.3.0</t>
  </si>
  <si>
    <t>CVE-2022-34662</t>
  </si>
  <si>
    <t>2.0.9</t>
  </si>
  <si>
    <t>CVE-2022-36007</t>
  </si>
  <si>
    <t>jlangch</t>
  </si>
  <si>
    <t>venice</t>
  </si>
  <si>
    <t>1.10.16</t>
  </si>
  <si>
    <t>CVE-2022-3782</t>
  </si>
  <si>
    <t>20.0.1</t>
  </si>
  <si>
    <t>CVE-2022-4065</t>
  </si>
  <si>
    <t>testng-team</t>
  </si>
  <si>
    <t>testng</t>
  </si>
  <si>
    <t>CVE-2022-4137</t>
  </si>
  <si>
    <t>CVE-2022-4244</t>
  </si>
  <si>
    <t>3.0.23</t>
  </si>
  <si>
    <t>CVE-2022-42889</t>
  </si>
  <si>
    <t>commons-text</t>
  </si>
  <si>
    <t>CVE-2022-4361</t>
  </si>
  <si>
    <t>21.1.1</t>
  </si>
  <si>
    <t>CVE-2022-44262</t>
  </si>
  <si>
    <t>ff4j</t>
  </si>
  <si>
    <t>1.8.13</t>
  </si>
  <si>
    <t>CVE-2022-46907</t>
  </si>
  <si>
    <t>2.11.3</t>
  </si>
  <si>
    <t>CVE-2023-24057</t>
  </si>
  <si>
    <t>hapifhir</t>
  </si>
  <si>
    <t>hapi-fhir</t>
  </si>
  <si>
    <t>5.6.91</t>
  </si>
  <si>
    <t>CVE-2023-29201</t>
  </si>
  <si>
    <t>CVE-2023-29528</t>
  </si>
  <si>
    <t>14.9-rc-1</t>
  </si>
  <si>
    <t>CVE-2023-31126</t>
  </si>
  <si>
    <t>14.10.3</t>
  </si>
  <si>
    <t>CVE-2023-32697</t>
  </si>
  <si>
    <t>xerial</t>
  </si>
  <si>
    <t>sqlite-jdbc</t>
  </si>
  <si>
    <t>3.41.2.1</t>
  </si>
  <si>
    <t>CVE-2023-33246</t>
  </si>
  <si>
    <t>5.1.0</t>
  </si>
  <si>
    <t>CVE-2023-33962</t>
  </si>
  <si>
    <t>jstachio</t>
  </si>
  <si>
    <t>1.0.0</t>
  </si>
  <si>
    <t>CVE-2023-34468</t>
  </si>
  <si>
    <t>nifi</t>
  </si>
  <si>
    <t>1.21.0</t>
  </si>
  <si>
    <t>CVE-2023-34478</t>
  </si>
  <si>
    <t>shiro</t>
  </si>
  <si>
    <t>1.11.0</t>
  </si>
  <si>
    <t>CVE-2023-35887</t>
  </si>
  <si>
    <t>mina-sshd</t>
  </si>
  <si>
    <t>2.9.2</t>
  </si>
  <si>
    <t>CVE-2023-36471</t>
  </si>
  <si>
    <t>14.10.5</t>
  </si>
  <si>
    <t>CVE-2023-37460</t>
  </si>
  <si>
    <t>4.7.1</t>
  </si>
  <si>
    <t>CVE-2023-37582</t>
  </si>
  <si>
    <t>4.9.6</t>
  </si>
  <si>
    <t>CVE-2023-37908</t>
  </si>
  <si>
    <t>xwiki-rendering</t>
  </si>
  <si>
    <t>CVE-2023-41044</t>
  </si>
  <si>
    <t>Graylog2</t>
  </si>
  <si>
    <t>graylog2-server</t>
  </si>
  <si>
    <t>5.1.2</t>
  </si>
  <si>
    <t>CVE-2023-49109</t>
  </si>
  <si>
    <t>3.2.0</t>
  </si>
  <si>
    <t>CVE-2024-23673</t>
  </si>
  <si>
    <t>sling-org-apache-sling-servlets-resolver</t>
  </si>
  <si>
    <t>2.10.0</t>
  </si>
  <si>
    <t>None</t>
  </si>
  <si>
    <t>CVE-2020-26217</t>
    <phoneticPr fontId="19" type="noConversion"/>
  </si>
  <si>
    <t>CVE-2017-1000487</t>
    <phoneticPr fontId="19" type="noConversion"/>
  </si>
  <si>
    <t>CVE-2021-21345</t>
    <phoneticPr fontId="19" type="noConversion"/>
  </si>
  <si>
    <t>Recall</t>
    <phoneticPr fontId="19" type="noConversion"/>
  </si>
  <si>
    <t>https://github.com/advisories/GHSA-gjfx-9wx3-j6r7@CVE-2011-4367</t>
  </si>
  <si>
    <t>https://github.com/advisories/GHSA-px42-mr8m-cpgh@CVE-2014-3656</t>
  </si>
  <si>
    <t>https://github.com/advisories/GHSA-4gr7-qw2q-jxh6@CVE-2021-44667</t>
  </si>
  <si>
    <t>https://github.com/advisories/GHSA-3wfj-vh84-732p@CVE-2014-3576</t>
  </si>
  <si>
    <t>https://github.com/advisories/GHSA-wc73-w5r9-x9pc@CVE-2020-29204</t>
  </si>
  <si>
    <t>https://github.com/advisories/GHSA-h6p6-fc4w-cqhx@CVE-2014-7816</t>
  </si>
  <si>
    <t>https://github.com/advisories/GHSA-qmfc-6www-fjqw@CVE-2021-30181</t>
  </si>
  <si>
    <t>https://github.com/advisories/GHSA-m8p2-495h-ccmh@CVE-2019-10219</t>
  </si>
  <si>
    <t>https://github.com/advisories/GHSA-89r3-rcpj-h7w6@CVE-2019-0207</t>
  </si>
  <si>
    <t>https://github.com/advisories/GHSA-hcwx-7q5v-vc67@CVE-2018-12036</t>
  </si>
  <si>
    <t>https://github.com/advisories/GHSA-gwrp-pvrq-jmwv@CVE-2021-29425</t>
  </si>
  <si>
    <t>https://github.com/advisories/GHSA-w6g3-v46q-5p28@CVE-2018-11762</t>
  </si>
  <si>
    <t>https://github.com/advisories/GHSA-mw36-7c6c-q4q2@CVE-2020-26217</t>
    <phoneticPr fontId="22" type="noConversion"/>
  </si>
  <si>
    <t>https://github.com/advisories/GHSA-vw2c-5wph-v92r@CVE-2016-6812</t>
  </si>
  <si>
    <t>https://github.com/advisories/GHSA-xm2m-2q6h-22jw@CVE-2023-34468</t>
  </si>
  <si>
    <t>https://github.com/advisories/GHSA-xwf4-88xr-hx2j@CVE-2016-5394</t>
  </si>
  <si>
    <t>https://github.com/advisories/GHSA-q44v-xc3g-v7jq@CVE-2017-14735</t>
  </si>
  <si>
    <t>https://github.com/advisories/GHSA-98g7-rxmf-rrxm@CVE-2021-4178</t>
  </si>
  <si>
    <t>https://github.com/advisories/GHSA-2rpm-4x8c-pvqg@CVE-2018-1002202</t>
  </si>
  <si>
    <t>https://github.com/advisories/GHSA-c28r-hw5m-5gv3@CVE-2022-31159</t>
  </si>
  <si>
    <t>https://github.com/advisories/GHSA-9hr3-j9mc-xmq2@CVE-2022-25842</t>
  </si>
  <si>
    <t>https://github.com/advisories/GHSA-gwxv-jv83-6qjr@CVE-2023-33962</t>
  </si>
  <si>
    <t>https://github.com/advisories/GHSA-fp35-xrrr-3gph@CVE-2022-34662</t>
  </si>
  <si>
    <t>https://github.com/advisories/GHSA-vpgf-fgm8-gxr2@CVE-2022-26884</t>
  </si>
  <si>
    <t>https://github.com/advisories/GHSA-395w-qhqr-9fr6@CVE-2020-17519</t>
  </si>
  <si>
    <t>https://github.com/advisories/GHSA-4mmh-5vw7-rgvj@CVE-2022-36007</t>
  </si>
  <si>
    <t>https://github.com/advisories/GHSA-qvq8-cw7f-m7m4@CVE-2022-46907</t>
  </si>
  <si>
    <t>https://github.com/advisories/GHSA-fmr4-w67p-vh8x@CVE-2018-1047</t>
  </si>
  <si>
    <t>https://github.com/advisories/GHSA-wqfh-9m4g-7x6x@CVE-2020-11998</t>
  </si>
  <si>
    <t>https://github.com/advisories/GHSA-m3jr-cvhj-f35j@CVE-2023-29201</t>
  </si>
  <si>
    <t>https://github.com/advisories/GHSA-rc2q-x9mf-w3vf@CVE-2022-4065</t>
  </si>
  <si>
    <t>https://github.com/advisories/GHSA-cxx2-fp39-rf3r@CVE-2019-10076</t>
  </si>
  <si>
    <t>https://github.com/advisories/GHSA-hcxq-x77q-3469@CVE-2018-1002200</t>
  </si>
  <si>
    <t>https://github.com/advisories/GHSA-544x-2jx9-4pfg@CVE-2022-22932</t>
  </si>
  <si>
    <t>https://github.com/advisories/GHSA-q77q-vx4q-xx6q@CVE-2022-24891</t>
  </si>
  <si>
    <t>https://github.com/advisories/GHSA-8m5h-hrqm-pxm2@CVE-2022-23457</t>
  </si>
  <si>
    <t>https://github.com/advisories/GHSA-6phf-6h5g-97j2@CVE-2023-32697</t>
  </si>
  <si>
    <t>https://github.com/advisories/GHSA-g6ph-x5wf-g337@CVE-2022-4244</t>
    <phoneticPr fontId="22" type="noConversion"/>
  </si>
  <si>
    <t>https://github.com/advisories/GHSA-rrpm-pj7p-7j9q@CVE-2018-1260</t>
  </si>
  <si>
    <t>https://github.com/advisories/GHSA-rhq2-2574-78mc@CVE-2018-17297</t>
  </si>
  <si>
    <t>https://github.com/advisories/GHSA-76qr-mmh8-cp8f@CVE-2018-9159</t>
  </si>
  <si>
    <t>https://github.com/advisories/GHSA-p9m8-27x8-rg87@CVE-2021-41269</t>
  </si>
  <si>
    <t>https://github.com/advisories/GHSA-4wjq-69rc-8wcp@CVE-2019-0194</t>
  </si>
  <si>
    <t>https://github.com/advisories/GHSA-hwpc-8xqv-jvj4@CVE-2021-21345</t>
    <phoneticPr fontId="22" type="noConversion"/>
  </si>
  <si>
    <t>https://github.com/advisories/GHSA-pmhc-2g4f-85cg@CVE-2023-34478</t>
  </si>
  <si>
    <t>https://github.com/advisories/GHSA-jv74-f9pj-xp3f@CVE-2018-8041</t>
  </si>
  <si>
    <t>https://github.com/advisories/GHSA-3pqg-4rqg-pg9g@CVE-2022-28367</t>
  </si>
  <si>
    <t>https://github.com/advisories/GHSA-wh3p-fphp-9h2m@CVE-2023-37460</t>
  </si>
  <si>
    <t>https://github.com/advisories/GHSA-683w-6h9j-57wq@CVE-2016-10006</t>
  </si>
  <si>
    <t>https://github.com/advisories/GHSA-h39x-m55c-v55h@CVE-2018-12542</t>
  </si>
  <si>
    <t>https://github.com/advisories/GHSA-8rmh-55h4-93h5@CVE-2022-31195</t>
  </si>
  <si>
    <t>https://github.com/advisories/GHSA-pv7v-ph6g-3gxv@CVE-2023-31126</t>
  </si>
  <si>
    <t>https://github.com/advisories/GHSA-663w-2xp3-5739@CVE-2023-37908</t>
  </si>
  <si>
    <t>https://github.com/advisories/GHSA-jqh6-9574-5x22@CVE-2023-24057</t>
  </si>
  <si>
    <t>https://github.com/advisories/GHSA-g8jj-899q-8x3j@CVE-2020-13973</t>
  </si>
  <si>
    <t>https://github.com/advisories/GHSA-p2f7-9cv7-jjf6@CVE-2022-26049</t>
  </si>
  <si>
    <t>https://github.com/advisories/GHSA-36p3-wjmg-h94x@CVE-2022-22965</t>
  </si>
  <si>
    <t>https://github.com/advisories/GHSA-cghx-9gcr-r42x@CVE-2020-8570</t>
  </si>
  <si>
    <t>https://github.com/advisories/GHSA-jpv3-g4cc-6vfx@CVE-2019-0222</t>
  </si>
  <si>
    <t>https://github.com/advisories/GHSA-gpq8-963w-8qc9@CVE-2023-37582</t>
  </si>
  <si>
    <t>https://github.com/advisories/GHSA-cvx5-m8vg-vxgc@CVE-2022-24897</t>
  </si>
  <si>
    <t>https://github.com/advisories/GHSA-vjw7-6gfq-6wf5@CVE-2019-17640</t>
  </si>
  <si>
    <t>https://github.com/advisories/GHSA-4m9r-5gqp-7j82@CVE-2016-10726</t>
  </si>
  <si>
    <t>https://github.com/advisories/GHSA-vp37-2f9p-3vr3@CVE-2022-29577</t>
  </si>
  <si>
    <t>https://github.com/advisories/GHSA-m9vj-44f3-78xw@CVE-2022-23082</t>
  </si>
  <si>
    <t>https://github.com/advisories/GHSA-p9j6-4pjr-gp48@CVE-2020-35460</t>
  </si>
  <si>
    <t>https://github.com/advisories/GHSA-7wfc-x4f7-gg2x@CVE-2021-30180</t>
  </si>
  <si>
    <t>https://github.com/advisories/GHSA-x3cq-8f32-5f63@CVE-2023-33246</t>
  </si>
  <si>
    <t>https://github.com/advisories/GHSA-f554-x222-wgf7@CVE-2013-7285</t>
  </si>
  <si>
    <t>https://github.com/advisories/GHSA-x37v-36wv-6v6h@CVE-2023-29528</t>
  </si>
  <si>
    <t>https://github.com/advisories/GHSA-hp5r-mhgp-56c9@CVE-2019-10078</t>
  </si>
  <si>
    <t>https://github.com/advisories/GHSA-cj6j-32rg-45r2@CVE-2019-10077</t>
  </si>
  <si>
    <t>https://github.com/advisories/GHSA-qp5m-c3m9-8q2p@CVE-2022-31194</t>
  </si>
  <si>
    <t>https://github.com/advisories/GHSA-hfpg-gqjw-779m@CVE-2018-1000129</t>
  </si>
  <si>
    <t>https://github.com/advisories/GHSA-jc35-q369-45pv@CVE-2020-17530</t>
  </si>
  <si>
    <t>https://github.com/advisories/GHSA-qcf3-9vmh-xw4r@CVE-2018-1002201</t>
  </si>
  <si>
    <t>https://github.com/advisories/GHSA-h2rq-qhr7-53gm@CVE-2024-23673</t>
  </si>
  <si>
    <t>https://github.com/advisories/GHSA-6pqf-c99p-758v@CVE-2023-36471</t>
  </si>
  <si>
    <t>https://github.com/advisories/GHSA-2q4p-f6gf-mqr5@CVE-2023-41044</t>
  </si>
  <si>
    <t>https://github.com/advisories/GHSA-4wm8-c2vv-xrpq@CVE-2022-31192</t>
  </si>
  <si>
    <t>https://github.com/advisories/GHSA-599f-7c49-w659@CVE-2022-42889</t>
  </si>
  <si>
    <t>https://github.com/advisories/GHSA-f93p-f762-vr53@CVE-2019-17573</t>
  </si>
  <si>
    <t>https://github.com/advisories/GHSA-89gc-6cw6-4vch@CVE-2016-9177</t>
  </si>
  <si>
    <t>https://github.com/advisories/GHSA-3p62-6fjh-3p5h@CVE-2022-4361</t>
  </si>
  <si>
    <t>https://github.com/advisories/GHSA-g86w-v5vg-9gxf@CVE-2020-5405</t>
  </si>
  <si>
    <t>https://github.com/advisories/GHSA-8vhq-qq4p-grq3@CVE-2017-1000487</t>
  </si>
  <si>
    <t>https://github.com/advisories/GHSA-5x3v-2gxr-59m2@CVE-2019-17572</t>
  </si>
  <si>
    <t>https://github.com/advisories/GHSA-9hhc-pj4w-w5rv@CVE-2022-4137</t>
  </si>
  <si>
    <t>https://github.com/advisories/GHSA-m4fv-gm5m-4725@CVE-2022-1274</t>
  </si>
  <si>
    <t>https://github.com/advisories/GHSA-8p8g-f9vg-r7xr@CVE-2018-1000850</t>
  </si>
  <si>
    <t>https://github.com/advisories/GHSA-qwxx-xww6-8q8m@CVE-2023-49109</t>
  </si>
  <si>
    <t>https://github.com/advisories/GHSA-mjmq-gwgm-5qhm@CVE-2023-35887</t>
  </si>
  <si>
    <t>https://github.com/advisories/GHSA-g8q8-fggx-9r3q@CVE-2022-3782</t>
  </si>
  <si>
    <t>https://github.com/advisories/GHSA-65hj-9ppw-77xc@CVE-2022-44262</t>
    <phoneticPr fontId="22" type="noConversion"/>
  </si>
  <si>
    <t>https://github.com/advisories/GHSA-xgqr-5wqw-9fpv@CVE-2022-32287</t>
    <phoneticPr fontId="22" type="noConversion"/>
  </si>
  <si>
    <t>FalseDiscoveryRate</t>
    <phoneticPr fontId="22" type="noConversion"/>
  </si>
  <si>
    <t>Precision</t>
    <phoneticPr fontId="22" type="noConversion"/>
  </si>
  <si>
    <t>#Paths</t>
    <phoneticPr fontId="22" type="noConversion"/>
  </si>
  <si>
    <t>#Detected</t>
    <phoneticPr fontId="22" type="noConversion"/>
  </si>
  <si>
    <t>#VulPath</t>
    <phoneticPr fontId="22" type="noConversion"/>
  </si>
  <si>
    <t>#PredictedPath</t>
    <phoneticPr fontId="22" type="noConversion"/>
  </si>
  <si>
    <t>#RealVulPath</t>
    <phoneticPr fontId="22" type="noConversion"/>
  </si>
  <si>
    <t>Id</t>
    <phoneticPr fontId="22" type="noConversion"/>
  </si>
  <si>
    <t>https://github.com/advisories/GHSA-mw36-7c6c-q4q2@CVE-2020-26217</t>
  </si>
  <si>
    <t>https://github.com/advisories/GHSA-hwpc-8xqv-jvj4@CVE-2021-21345</t>
  </si>
  <si>
    <t>https://github.com/advisories/GHSA-xgqr-5wqw-9fpv@CVE-2022-32287</t>
  </si>
  <si>
    <t>https://github.com/advisories/GHSA-g6ph-x5wf-g337@CVE-2022-4244</t>
  </si>
  <si>
    <t>https://github.com/advisories/GHSA-65hj-9ppw-77xc@CVE-2022-44262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</si>
</sst>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  <xf numFmtId="0" fontId="21" fillId="0" borderId="0" applyNumberFormat="0" applyFill="0" applyBorder="0" applyAlignment="0" applyProtection="0"/>
  </cellStyleXfs>
  <cellXfs count="12">
    <xf numFmtId="0" fontId="0" fillId="0" borderId="0" xfId="0">
      <alignment vertical="center"/>
    </xf>
    <xf numFmtId="0" fontId="1" fillId="0" borderId="0" xfId="42"/>
    <xf numFmtId="0" fontId="20" fillId="0" borderId="0" xfId="42" applyFont="1"/>
    <xf numFmtId="0" fontId="20" fillId="0" borderId="0" xfId="43" applyFont="1"/>
    <xf numFmtId="0" fontId="23" fillId="0" borderId="0" xfId="42" applyFont="1" applyAlignment="1">
      <alignment horizontal="center" vertical="center"/>
    </xf>
    <xf numFmtId="0" fontId="24" fillId="0" borderId="0" xfId="42" applyFont="1" applyAlignment="1">
      <alignment horizontal="center" vertical="center"/>
    </xf>
    <xf numFmtId="0" fontId="25" fillId="0" borderId="0" xfId="42" applyFont="1"/>
    <xf numFmtId="0" fontId="1" fillId="0" borderId="0" xfId="42" applyAlignment="1">
      <alignment horizontal="left" vertical="top"/>
    </xf>
    <xf numFmtId="0" fontId="1" fillId="0" borderId="0" xfId="42" applyAlignment="1">
      <alignment horizontal="center" vertical="center"/>
    </xf>
    <xf numFmtId="0" fontId="1" fillId="0" borderId="0" xfId="42" applyAlignment="1">
      <alignment horizontal="center"/>
    </xf>
    <xf numFmtId="0" fontId="20" fillId="0" borderId="0" xfId="42" applyFont="1" applyAlignment="1">
      <alignment horizontal="center" vertical="center"/>
    </xf>
    <xf numFmtId="0" fontId="20" fillId="0" borderId="0" xfId="43" applyFont="1" applyAlignment="1">
      <alignment horizontal="center"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2DC6B89B-A182-4752-B67B-36995FC85F6A}"/>
    <cellStyle name="超链接" xfId="43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dvisories/GHSA-mw36-7c6c-q4q2@CVE-2020-2621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D81C-5D2A-4EBD-887D-93C1A33059AE}">
  <dimension ref="Y1:AF96"/>
  <sheetViews>
    <sheetView topLeftCell="Y1" workbookViewId="0">
      <selection activeCell="Y1" sqref="Y1:Y1048576"/>
    </sheetView>
  </sheetViews>
  <sheetFormatPr defaultRowHeight="14" x14ac:dyDescent="0.3"/>
  <cols>
    <col min="1" max="24" width="8.6640625" style="1"/>
    <col min="25" max="25" width="34.75" style="1" customWidth="1"/>
    <col min="26" max="26" width="12.5" style="1" bestFit="1" customWidth="1"/>
    <col min="27" max="27" width="14.25" style="1" bestFit="1" customWidth="1"/>
    <col min="28" max="28" width="8.75" style="1" bestFit="1" customWidth="1"/>
    <col min="29" max="29" width="9.83203125" style="1" bestFit="1" customWidth="1"/>
    <col min="30" max="30" width="6.75" style="1" bestFit="1" customWidth="1"/>
    <col min="31" max="31" width="8.6640625" style="1" bestFit="1" customWidth="1"/>
    <col min="32" max="32" width="17.5" style="1" bestFit="1" customWidth="1"/>
    <col min="33" max="16384" width="8.6640625" style="1"/>
  </cols>
  <sheetData>
    <row r="1" spans="25:32" x14ac:dyDescent="0.3">
      <c r="Y1" s="5" t="s">
        <v>395</v>
      </c>
      <c r="Z1" s="4" t="s">
        <v>394</v>
      </c>
      <c r="AA1" s="4" t="s">
        <v>393</v>
      </c>
      <c r="AB1" s="4" t="s">
        <v>392</v>
      </c>
      <c r="AC1" s="4" t="s">
        <v>391</v>
      </c>
      <c r="AD1" s="4" t="s">
        <v>390</v>
      </c>
      <c r="AE1" s="4" t="s">
        <v>389</v>
      </c>
      <c r="AF1" s="4" t="s">
        <v>388</v>
      </c>
    </row>
    <row r="2" spans="25:32" x14ac:dyDescent="0.3">
      <c r="Y2" s="1" t="s">
        <v>387</v>
      </c>
      <c r="Z2" s="1">
        <v>21</v>
      </c>
      <c r="AA2" s="1">
        <v>34</v>
      </c>
      <c r="AB2" s="1">
        <v>19</v>
      </c>
      <c r="AC2" s="1">
        <f>IF(AB2&gt;0,1,0)</f>
        <v>1</v>
      </c>
      <c r="AD2" s="1">
        <f>Z2+AA2-AB2</f>
        <v>36</v>
      </c>
      <c r="AE2" s="1">
        <f>AB2/AD2</f>
        <v>0.52777777777777779</v>
      </c>
      <c r="AF2" s="1">
        <f>1-AE2</f>
        <v>0.47222222222222221</v>
      </c>
    </row>
    <row r="3" spans="25:32" x14ac:dyDescent="0.3">
      <c r="Y3" s="1" t="s">
        <v>386</v>
      </c>
      <c r="Z3" s="1">
        <v>18</v>
      </c>
      <c r="AA3" s="1">
        <v>18</v>
      </c>
      <c r="AB3" s="1">
        <v>18</v>
      </c>
      <c r="AC3" s="1">
        <f>IF(AB3&gt;0,1,0)</f>
        <v>1</v>
      </c>
      <c r="AD3" s="1">
        <f>Z3+AA3-AB3</f>
        <v>18</v>
      </c>
      <c r="AE3" s="1">
        <f>AB3/AD3</f>
        <v>1</v>
      </c>
      <c r="AF3" s="1">
        <f>1-AE3</f>
        <v>0</v>
      </c>
    </row>
    <row r="4" spans="25:32" x14ac:dyDescent="0.3">
      <c r="Y4" s="2" t="s">
        <v>385</v>
      </c>
      <c r="Z4" s="1">
        <v>20</v>
      </c>
      <c r="AA4" s="1">
        <v>42</v>
      </c>
      <c r="AB4" s="1">
        <v>14</v>
      </c>
      <c r="AC4" s="1">
        <f>IF(AB4&gt;0,1,0)</f>
        <v>1</v>
      </c>
      <c r="AD4" s="1">
        <f>Z4+AA4-AB4</f>
        <v>48</v>
      </c>
      <c r="AE4" s="1">
        <f>AB4/AD4</f>
        <v>0.29166666666666669</v>
      </c>
      <c r="AF4" s="1">
        <f>1-AE4</f>
        <v>0.70833333333333326</v>
      </c>
    </row>
    <row r="5" spans="25:32" x14ac:dyDescent="0.3">
      <c r="Y5" s="2" t="s">
        <v>384</v>
      </c>
      <c r="Z5" s="1">
        <v>52</v>
      </c>
      <c r="AA5" s="1">
        <v>45</v>
      </c>
      <c r="AB5" s="1">
        <v>11</v>
      </c>
      <c r="AC5" s="1">
        <f>IF(AB5&gt;0,1,0)</f>
        <v>1</v>
      </c>
      <c r="AD5" s="1">
        <f>Z5+AA5-AB5</f>
        <v>86</v>
      </c>
      <c r="AE5" s="1">
        <f>AB5/AD5</f>
        <v>0.12790697674418605</v>
      </c>
      <c r="AF5" s="1">
        <f>1-AE5</f>
        <v>0.87209302325581395</v>
      </c>
    </row>
    <row r="6" spans="25:32" x14ac:dyDescent="0.3">
      <c r="Y6" s="2" t="s">
        <v>383</v>
      </c>
      <c r="Z6" s="1">
        <v>10</v>
      </c>
      <c r="AA6" s="1">
        <v>10</v>
      </c>
      <c r="AB6" s="1">
        <v>10</v>
      </c>
      <c r="AC6" s="1">
        <f>IF(AB6&gt;0,1,0)</f>
        <v>1</v>
      </c>
      <c r="AD6" s="1">
        <f>Z6+AA6-AB6</f>
        <v>10</v>
      </c>
      <c r="AE6" s="1">
        <f>AB6/AD6</f>
        <v>1</v>
      </c>
      <c r="AF6" s="1">
        <f>1-AE6</f>
        <v>0</v>
      </c>
    </row>
    <row r="7" spans="25:32" x14ac:dyDescent="0.3">
      <c r="Y7" s="2" t="s">
        <v>382</v>
      </c>
      <c r="Z7" s="1">
        <v>6</v>
      </c>
      <c r="AA7" s="1">
        <v>6</v>
      </c>
      <c r="AB7" s="1">
        <v>6</v>
      </c>
      <c r="AC7" s="1">
        <f>IF(AB7&gt;0,1,0)</f>
        <v>1</v>
      </c>
      <c r="AD7" s="1">
        <f>Z7+AA7-AB7</f>
        <v>6</v>
      </c>
      <c r="AE7" s="1">
        <f>AB7/AD7</f>
        <v>1</v>
      </c>
      <c r="AF7" s="1">
        <f>1-AE7</f>
        <v>0</v>
      </c>
    </row>
    <row r="8" spans="25:32" x14ac:dyDescent="0.3">
      <c r="Y8" s="2" t="s">
        <v>381</v>
      </c>
      <c r="Z8" s="1">
        <v>5</v>
      </c>
      <c r="AA8" s="1">
        <v>5</v>
      </c>
      <c r="AB8" s="1">
        <v>5</v>
      </c>
      <c r="AC8" s="1">
        <f>IF(AB8&gt;0,1,0)</f>
        <v>1</v>
      </c>
      <c r="AD8" s="1">
        <f>Z8+AA8-AB8</f>
        <v>5</v>
      </c>
      <c r="AE8" s="1">
        <f>AB8/AD8</f>
        <v>1</v>
      </c>
      <c r="AF8" s="1">
        <f>1-AE8</f>
        <v>0</v>
      </c>
    </row>
    <row r="9" spans="25:32" x14ac:dyDescent="0.3">
      <c r="Y9" s="2" t="s">
        <v>380</v>
      </c>
      <c r="Z9" s="1">
        <v>5</v>
      </c>
      <c r="AA9" s="1">
        <v>5</v>
      </c>
      <c r="AB9" s="1">
        <v>5</v>
      </c>
      <c r="AC9" s="1">
        <f>IF(AB9&gt;0,1,0)</f>
        <v>1</v>
      </c>
      <c r="AD9" s="1">
        <f>Z9+AA9-AB9</f>
        <v>5</v>
      </c>
      <c r="AE9" s="1">
        <f>AB9/AD9</f>
        <v>1</v>
      </c>
      <c r="AF9" s="1">
        <f>1-AE9</f>
        <v>0</v>
      </c>
    </row>
    <row r="10" spans="25:32" x14ac:dyDescent="0.3">
      <c r="Y10" s="2" t="s">
        <v>379</v>
      </c>
      <c r="Z10" s="1">
        <v>12</v>
      </c>
      <c r="AA10" s="1">
        <v>16</v>
      </c>
      <c r="AB10" s="1">
        <v>5</v>
      </c>
      <c r="AC10" s="1">
        <f>IF(AB10&gt;0,1,0)</f>
        <v>1</v>
      </c>
      <c r="AD10" s="1">
        <f>Z10+AA10-AB10</f>
        <v>23</v>
      </c>
      <c r="AE10" s="1">
        <f>AB10/AD10</f>
        <v>0.21739130434782608</v>
      </c>
      <c r="AF10" s="1">
        <f>1-AE10</f>
        <v>0.78260869565217395</v>
      </c>
    </row>
    <row r="11" spans="25:32" x14ac:dyDescent="0.3">
      <c r="Y11" s="2" t="s">
        <v>378</v>
      </c>
      <c r="Z11" s="1">
        <v>26</v>
      </c>
      <c r="AA11" s="1">
        <v>22</v>
      </c>
      <c r="AB11" s="1">
        <v>5</v>
      </c>
      <c r="AC11" s="1">
        <f>IF(AB11&gt;0,1,0)</f>
        <v>1</v>
      </c>
      <c r="AD11" s="1">
        <f>Z11+AA11-AB11</f>
        <v>43</v>
      </c>
      <c r="AE11" s="1">
        <f>AB11/AD11</f>
        <v>0.11627906976744186</v>
      </c>
      <c r="AF11" s="1">
        <f>1-AE11</f>
        <v>0.88372093023255816</v>
      </c>
    </row>
    <row r="12" spans="25:32" x14ac:dyDescent="0.3">
      <c r="Y12" s="2" t="s">
        <v>377</v>
      </c>
      <c r="Z12" s="1">
        <v>11</v>
      </c>
      <c r="AA12" s="1">
        <v>8</v>
      </c>
      <c r="AB12" s="1">
        <v>4</v>
      </c>
      <c r="AC12" s="1">
        <f>IF(AB12&gt;0,1,0)</f>
        <v>1</v>
      </c>
      <c r="AD12" s="1">
        <f>Z12+AA12-AB12</f>
        <v>15</v>
      </c>
      <c r="AE12" s="1">
        <f>AB12/AD12</f>
        <v>0.26666666666666666</v>
      </c>
      <c r="AF12" s="1">
        <f>1-AE12</f>
        <v>0.73333333333333339</v>
      </c>
    </row>
    <row r="13" spans="25:32" x14ac:dyDescent="0.3">
      <c r="Y13" s="2" t="s">
        <v>376</v>
      </c>
      <c r="Z13" s="1">
        <v>7</v>
      </c>
      <c r="AA13" s="1">
        <v>16</v>
      </c>
      <c r="AB13" s="1">
        <v>4</v>
      </c>
      <c r="AC13" s="1">
        <f>IF(AB13&gt;0,1,0)</f>
        <v>1</v>
      </c>
      <c r="AD13" s="1">
        <f>Z13+AA13-AB13</f>
        <v>19</v>
      </c>
      <c r="AE13" s="1">
        <f>AB13/AD13</f>
        <v>0.21052631578947367</v>
      </c>
      <c r="AF13" s="1">
        <f>1-AE13</f>
        <v>0.78947368421052633</v>
      </c>
    </row>
    <row r="14" spans="25:32" x14ac:dyDescent="0.3">
      <c r="Y14" s="2" t="s">
        <v>375</v>
      </c>
      <c r="Z14" s="1">
        <v>7</v>
      </c>
      <c r="AA14" s="1">
        <v>24</v>
      </c>
      <c r="AB14" s="1">
        <v>4</v>
      </c>
      <c r="AC14" s="1">
        <f>IF(AB14&gt;0,1,0)</f>
        <v>1</v>
      </c>
      <c r="AD14" s="1">
        <f>Z14+AA14-AB14</f>
        <v>27</v>
      </c>
      <c r="AE14" s="1">
        <f>AB14/AD14</f>
        <v>0.14814814814814814</v>
      </c>
      <c r="AF14" s="1">
        <f>1-AE14</f>
        <v>0.85185185185185186</v>
      </c>
    </row>
    <row r="15" spans="25:32" x14ac:dyDescent="0.3">
      <c r="Y15" s="2" t="s">
        <v>374</v>
      </c>
      <c r="Z15" s="1">
        <v>6</v>
      </c>
      <c r="AA15" s="1">
        <v>43</v>
      </c>
      <c r="AB15" s="1">
        <v>4</v>
      </c>
      <c r="AC15" s="1">
        <f>IF(AB15&gt;0,1,0)</f>
        <v>1</v>
      </c>
      <c r="AD15" s="1">
        <f>Z15+AA15-AB15</f>
        <v>45</v>
      </c>
      <c r="AE15" s="1">
        <f>AB15/AD15</f>
        <v>8.8888888888888892E-2</v>
      </c>
      <c r="AF15" s="1">
        <f>1-AE15</f>
        <v>0.91111111111111109</v>
      </c>
    </row>
    <row r="16" spans="25:32" x14ac:dyDescent="0.3">
      <c r="Y16" s="2" t="s">
        <v>373</v>
      </c>
      <c r="Z16" s="1">
        <v>14</v>
      </c>
      <c r="AA16" s="1">
        <v>130</v>
      </c>
      <c r="AB16" s="1">
        <v>4</v>
      </c>
      <c r="AC16" s="1">
        <f>IF(AB16&gt;0,1,0)</f>
        <v>1</v>
      </c>
      <c r="AD16" s="1">
        <f>Z16+AA16-AB16</f>
        <v>140</v>
      </c>
      <c r="AE16" s="1">
        <f>AB16/AD16</f>
        <v>2.8571428571428571E-2</v>
      </c>
      <c r="AF16" s="1">
        <f>1-AE16</f>
        <v>0.97142857142857142</v>
      </c>
    </row>
    <row r="17" spans="25:32" x14ac:dyDescent="0.3">
      <c r="Y17" s="2" t="s">
        <v>372</v>
      </c>
      <c r="Z17" s="1">
        <v>3</v>
      </c>
      <c r="AA17" s="1">
        <v>6</v>
      </c>
      <c r="AB17" s="1">
        <v>3</v>
      </c>
      <c r="AC17" s="1">
        <f>IF(AB17&gt;0,1,0)</f>
        <v>1</v>
      </c>
      <c r="AD17" s="1">
        <f>Z17+AA17-AB17</f>
        <v>6</v>
      </c>
      <c r="AE17" s="1">
        <f>AB17/AD17</f>
        <v>0.5</v>
      </c>
      <c r="AF17" s="1">
        <f>1-AE17</f>
        <v>0.5</v>
      </c>
    </row>
    <row r="18" spans="25:32" x14ac:dyDescent="0.3">
      <c r="Y18" s="2" t="s">
        <v>371</v>
      </c>
      <c r="Z18" s="1">
        <v>3</v>
      </c>
      <c r="AA18" s="1">
        <v>37</v>
      </c>
      <c r="AB18" s="1">
        <v>3</v>
      </c>
      <c r="AC18" s="1">
        <f>IF(AB18&gt;0,1,0)</f>
        <v>1</v>
      </c>
      <c r="AD18" s="1">
        <f>Z18+AA18-AB18</f>
        <v>37</v>
      </c>
      <c r="AE18" s="1">
        <f>AB18/AD18</f>
        <v>8.1081081081081086E-2</v>
      </c>
      <c r="AF18" s="1">
        <f>1-AE18</f>
        <v>0.91891891891891886</v>
      </c>
    </row>
    <row r="19" spans="25:32" x14ac:dyDescent="0.3">
      <c r="Y19" s="2" t="s">
        <v>370</v>
      </c>
      <c r="Z19" s="1">
        <v>2</v>
      </c>
      <c r="AA19" s="1">
        <v>2</v>
      </c>
      <c r="AB19" s="1">
        <v>2</v>
      </c>
      <c r="AC19" s="1">
        <f>IF(AB19&gt;0,1,0)</f>
        <v>1</v>
      </c>
      <c r="AD19" s="1">
        <f>Z19+AA19-AB19</f>
        <v>2</v>
      </c>
      <c r="AE19" s="1">
        <f>AB19/AD19</f>
        <v>1</v>
      </c>
      <c r="AF19" s="1">
        <f>1-AE19</f>
        <v>0</v>
      </c>
    </row>
    <row r="20" spans="25:32" x14ac:dyDescent="0.3">
      <c r="Y20" s="2" t="s">
        <v>369</v>
      </c>
      <c r="Z20" s="1">
        <v>3</v>
      </c>
      <c r="AA20" s="1">
        <v>3</v>
      </c>
      <c r="AB20" s="1">
        <v>2</v>
      </c>
      <c r="AC20" s="1">
        <f>IF(AB20&gt;0,1,0)</f>
        <v>1</v>
      </c>
      <c r="AD20" s="1">
        <f>Z20+AA20-AB20</f>
        <v>4</v>
      </c>
      <c r="AE20" s="1">
        <f>AB20/AD20</f>
        <v>0.5</v>
      </c>
      <c r="AF20" s="1">
        <f>1-AE20</f>
        <v>0.5</v>
      </c>
    </row>
    <row r="21" spans="25:32" x14ac:dyDescent="0.3">
      <c r="Y21" s="2" t="s">
        <v>368</v>
      </c>
      <c r="Z21" s="1">
        <v>2</v>
      </c>
      <c r="AA21" s="1">
        <v>5</v>
      </c>
      <c r="AB21" s="1">
        <v>2</v>
      </c>
      <c r="AC21" s="1">
        <f>IF(AB21&gt;0,1,0)</f>
        <v>1</v>
      </c>
      <c r="AD21" s="1">
        <f>Z21+AA21-AB21</f>
        <v>5</v>
      </c>
      <c r="AE21" s="1">
        <f>AB21/AD21</f>
        <v>0.4</v>
      </c>
      <c r="AF21" s="1">
        <f>1-AE21</f>
        <v>0.6</v>
      </c>
    </row>
    <row r="22" spans="25:32" x14ac:dyDescent="0.3">
      <c r="Y22" s="2" t="s">
        <v>367</v>
      </c>
      <c r="Z22" s="1">
        <v>2</v>
      </c>
      <c r="AA22" s="1">
        <v>9</v>
      </c>
      <c r="AB22" s="1">
        <v>2</v>
      </c>
      <c r="AC22" s="1">
        <f>IF(AB22&gt;0,1,0)</f>
        <v>1</v>
      </c>
      <c r="AD22" s="1">
        <f>Z22+AA22-AB22</f>
        <v>9</v>
      </c>
      <c r="AE22" s="1">
        <f>AB22/AD22</f>
        <v>0.22222222222222221</v>
      </c>
      <c r="AF22" s="1">
        <f>1-AE22</f>
        <v>0.77777777777777779</v>
      </c>
    </row>
    <row r="23" spans="25:32" x14ac:dyDescent="0.3">
      <c r="Y23" s="2" t="s">
        <v>366</v>
      </c>
      <c r="Z23" s="1">
        <v>15</v>
      </c>
      <c r="AA23" s="1">
        <v>14</v>
      </c>
      <c r="AB23" s="1">
        <v>2</v>
      </c>
      <c r="AC23" s="1">
        <f>IF(AB23&gt;0,1,0)</f>
        <v>1</v>
      </c>
      <c r="AD23" s="1">
        <f>Z23+AA23-AB23</f>
        <v>27</v>
      </c>
      <c r="AE23" s="1">
        <f>AB23/AD23</f>
        <v>7.407407407407407E-2</v>
      </c>
      <c r="AF23" s="1">
        <f>1-AE23</f>
        <v>0.92592592592592593</v>
      </c>
    </row>
    <row r="24" spans="25:32" x14ac:dyDescent="0.3">
      <c r="Y24" s="2" t="s">
        <v>365</v>
      </c>
      <c r="Z24" s="1">
        <v>4</v>
      </c>
      <c r="AA24" s="1">
        <v>16</v>
      </c>
      <c r="AB24" s="1">
        <v>2</v>
      </c>
      <c r="AC24" s="1">
        <f>IF(AB24&gt;0,1,0)</f>
        <v>1</v>
      </c>
      <c r="AD24" s="1">
        <f>Z24+AA24-AB24</f>
        <v>18</v>
      </c>
      <c r="AE24" s="1">
        <f>AB24/AD24</f>
        <v>0.1111111111111111</v>
      </c>
      <c r="AF24" s="1">
        <f>1-AE24</f>
        <v>0.88888888888888884</v>
      </c>
    </row>
    <row r="25" spans="25:32" x14ac:dyDescent="0.3">
      <c r="Y25" s="2" t="s">
        <v>364</v>
      </c>
      <c r="Z25" s="1">
        <v>2</v>
      </c>
      <c r="AA25" s="1">
        <v>16</v>
      </c>
      <c r="AB25" s="1">
        <v>2</v>
      </c>
      <c r="AC25" s="1">
        <f>IF(AB25&gt;0,1,0)</f>
        <v>1</v>
      </c>
      <c r="AD25" s="1">
        <f>Z25+AA25-AB25</f>
        <v>16</v>
      </c>
      <c r="AE25" s="1">
        <f>AB25/AD25</f>
        <v>0.125</v>
      </c>
      <c r="AF25" s="1">
        <f>1-AE25</f>
        <v>0.875</v>
      </c>
    </row>
    <row r="26" spans="25:32" x14ac:dyDescent="0.3">
      <c r="Y26" s="2" t="s">
        <v>363</v>
      </c>
      <c r="Z26" s="1">
        <v>2</v>
      </c>
      <c r="AA26" s="1">
        <v>16</v>
      </c>
      <c r="AB26" s="1">
        <v>2</v>
      </c>
      <c r="AC26" s="1">
        <f>IF(AB26&gt;0,1,0)</f>
        <v>1</v>
      </c>
      <c r="AD26" s="1">
        <f>Z26+AA26-AB26</f>
        <v>16</v>
      </c>
      <c r="AE26" s="1">
        <f>AB26/AD26</f>
        <v>0.125</v>
      </c>
      <c r="AF26" s="1">
        <f>1-AE26</f>
        <v>0.875</v>
      </c>
    </row>
    <row r="27" spans="25:32" x14ac:dyDescent="0.3">
      <c r="Y27" s="2" t="s">
        <v>362</v>
      </c>
      <c r="Z27" s="1">
        <v>2</v>
      </c>
      <c r="AA27" s="1">
        <v>30</v>
      </c>
      <c r="AB27" s="1">
        <v>2</v>
      </c>
      <c r="AC27" s="1">
        <f>IF(AB27&gt;0,1,0)</f>
        <v>1</v>
      </c>
      <c r="AD27" s="1">
        <f>Z27+AA27-AB27</f>
        <v>30</v>
      </c>
      <c r="AE27" s="1">
        <f>AB27/AD27</f>
        <v>6.6666666666666666E-2</v>
      </c>
      <c r="AF27" s="1">
        <f>1-AE27</f>
        <v>0.93333333333333335</v>
      </c>
    </row>
    <row r="28" spans="25:32" x14ac:dyDescent="0.3">
      <c r="Y28" s="2" t="s">
        <v>361</v>
      </c>
      <c r="Z28" s="1">
        <v>6</v>
      </c>
      <c r="AA28" s="1">
        <v>44</v>
      </c>
      <c r="AB28" s="1">
        <v>2</v>
      </c>
      <c r="AC28" s="1">
        <f>IF(AB28&gt;0,1,0)</f>
        <v>1</v>
      </c>
      <c r="AD28" s="1">
        <f>Z28+AA28-AB28</f>
        <v>48</v>
      </c>
      <c r="AE28" s="1">
        <f>AB28/AD28</f>
        <v>4.1666666666666664E-2</v>
      </c>
      <c r="AF28" s="1">
        <f>1-AE28</f>
        <v>0.95833333333333337</v>
      </c>
    </row>
    <row r="29" spans="25:32" x14ac:dyDescent="0.3">
      <c r="Y29" s="2" t="s">
        <v>360</v>
      </c>
      <c r="Z29" s="1">
        <v>8</v>
      </c>
      <c r="AA29" s="1">
        <v>133</v>
      </c>
      <c r="AB29" s="1">
        <v>2</v>
      </c>
      <c r="AC29" s="1">
        <f>IF(AB29&gt;0,1,0)</f>
        <v>1</v>
      </c>
      <c r="AD29" s="1">
        <f>Z29+AA29-AB29</f>
        <v>139</v>
      </c>
      <c r="AE29" s="1">
        <f>AB29/AD29</f>
        <v>1.4388489208633094E-2</v>
      </c>
      <c r="AF29" s="1">
        <f>1-AE29</f>
        <v>0.98561151079136688</v>
      </c>
    </row>
    <row r="30" spans="25:32" x14ac:dyDescent="0.3">
      <c r="Y30" s="2" t="s">
        <v>359</v>
      </c>
      <c r="Z30" s="1">
        <v>16</v>
      </c>
      <c r="AA30" s="1">
        <v>156</v>
      </c>
      <c r="AB30" s="1">
        <v>2</v>
      </c>
      <c r="AC30" s="1">
        <f>IF(AB30&gt;0,1,0)</f>
        <v>1</v>
      </c>
      <c r="AD30" s="1">
        <f>Z30+AA30-AB30</f>
        <v>170</v>
      </c>
      <c r="AE30" s="1">
        <f>AB30/AD30</f>
        <v>1.1764705882352941E-2</v>
      </c>
      <c r="AF30" s="1">
        <f>1-AE30</f>
        <v>0.9882352941176471</v>
      </c>
    </row>
    <row r="31" spans="25:32" x14ac:dyDescent="0.3">
      <c r="Y31" s="2" t="s">
        <v>358</v>
      </c>
      <c r="Z31" s="1">
        <v>1</v>
      </c>
      <c r="AA31" s="1">
        <v>1</v>
      </c>
      <c r="AB31" s="1">
        <v>1</v>
      </c>
      <c r="AC31" s="1">
        <f>IF(AB31&gt;0,1,0)</f>
        <v>1</v>
      </c>
      <c r="AD31" s="1">
        <f>Z31+AA31-AB31</f>
        <v>1</v>
      </c>
      <c r="AE31" s="1">
        <f>AB31/AD31</f>
        <v>1</v>
      </c>
      <c r="AF31" s="1">
        <f>1-AE31</f>
        <v>0</v>
      </c>
    </row>
    <row r="32" spans="25:32" x14ac:dyDescent="0.3">
      <c r="Y32" s="2" t="s">
        <v>357</v>
      </c>
      <c r="Z32" s="1">
        <v>2</v>
      </c>
      <c r="AA32" s="1">
        <v>1</v>
      </c>
      <c r="AB32" s="1">
        <v>1</v>
      </c>
      <c r="AC32" s="1">
        <f>IF(AB32&gt;0,1,0)</f>
        <v>1</v>
      </c>
      <c r="AD32" s="1">
        <f>Z32+AA32-AB32</f>
        <v>2</v>
      </c>
      <c r="AE32" s="1">
        <f>AB32/AD32</f>
        <v>0.5</v>
      </c>
      <c r="AF32" s="1">
        <f>1-AE32</f>
        <v>0.5</v>
      </c>
    </row>
    <row r="33" spans="25:32" x14ac:dyDescent="0.3">
      <c r="Y33" s="2" t="s">
        <v>356</v>
      </c>
      <c r="Z33" s="1">
        <v>3</v>
      </c>
      <c r="AA33" s="1">
        <v>1</v>
      </c>
      <c r="AB33" s="1">
        <v>1</v>
      </c>
      <c r="AC33" s="1">
        <f>IF(AB33&gt;0,1,0)</f>
        <v>1</v>
      </c>
      <c r="AD33" s="1">
        <f>Z33+AA33-AB33</f>
        <v>3</v>
      </c>
      <c r="AE33" s="1">
        <f>AB33/AD33</f>
        <v>0.33333333333333331</v>
      </c>
      <c r="AF33" s="1">
        <f>1-AE33</f>
        <v>0.66666666666666674</v>
      </c>
    </row>
    <row r="34" spans="25:32" x14ac:dyDescent="0.3">
      <c r="Y34" s="2" t="s">
        <v>355</v>
      </c>
      <c r="Z34" s="1">
        <v>1</v>
      </c>
      <c r="AA34" s="1">
        <v>1</v>
      </c>
      <c r="AB34" s="1">
        <v>1</v>
      </c>
      <c r="AC34" s="1">
        <f>IF(AB34&gt;0,1,0)</f>
        <v>1</v>
      </c>
      <c r="AD34" s="1">
        <f>Z34+AA34-AB34</f>
        <v>1</v>
      </c>
      <c r="AE34" s="1">
        <f>AB34/AD34</f>
        <v>1</v>
      </c>
      <c r="AF34" s="1">
        <f>1-AE34</f>
        <v>0</v>
      </c>
    </row>
    <row r="35" spans="25:32" x14ac:dyDescent="0.3">
      <c r="Y35" s="2" t="s">
        <v>354</v>
      </c>
      <c r="Z35" s="1">
        <v>3</v>
      </c>
      <c r="AA35" s="1">
        <v>1</v>
      </c>
      <c r="AB35" s="1">
        <v>1</v>
      </c>
      <c r="AC35" s="1">
        <f>IF(AB35&gt;0,1,0)</f>
        <v>1</v>
      </c>
      <c r="AD35" s="1">
        <f>Z35+AA35-AB35</f>
        <v>3</v>
      </c>
      <c r="AE35" s="1">
        <f>AB35/AD35</f>
        <v>0.33333333333333331</v>
      </c>
      <c r="AF35" s="1">
        <f>1-AE35</f>
        <v>0.66666666666666674</v>
      </c>
    </row>
    <row r="36" spans="25:32" x14ac:dyDescent="0.3">
      <c r="Y36" s="2" t="s">
        <v>353</v>
      </c>
      <c r="Z36" s="1">
        <v>1</v>
      </c>
      <c r="AA36" s="1">
        <v>1</v>
      </c>
      <c r="AB36" s="1">
        <v>1</v>
      </c>
      <c r="AC36" s="1">
        <f>IF(AB36&gt;0,1,0)</f>
        <v>1</v>
      </c>
      <c r="AD36" s="1">
        <f>Z36+AA36-AB36</f>
        <v>1</v>
      </c>
      <c r="AE36" s="1">
        <f>AB36/AD36</f>
        <v>1</v>
      </c>
      <c r="AF36" s="1">
        <f>1-AE36</f>
        <v>0</v>
      </c>
    </row>
    <row r="37" spans="25:32" x14ac:dyDescent="0.3">
      <c r="Y37" s="2" t="s">
        <v>352</v>
      </c>
      <c r="Z37" s="1">
        <v>2</v>
      </c>
      <c r="AA37" s="1">
        <v>1</v>
      </c>
      <c r="AB37" s="1">
        <v>1</v>
      </c>
      <c r="AC37" s="1">
        <f>IF(AB37&gt;0,1,0)</f>
        <v>1</v>
      </c>
      <c r="AD37" s="1">
        <f>Z37+AA37-AB37</f>
        <v>2</v>
      </c>
      <c r="AE37" s="1">
        <f>AB37/AD37</f>
        <v>0.5</v>
      </c>
      <c r="AF37" s="1">
        <f>1-AE37</f>
        <v>0.5</v>
      </c>
    </row>
    <row r="38" spans="25:32" x14ac:dyDescent="0.3">
      <c r="Y38" s="2" t="s">
        <v>351</v>
      </c>
      <c r="Z38" s="1">
        <v>1</v>
      </c>
      <c r="AA38" s="1">
        <v>1</v>
      </c>
      <c r="AB38" s="1">
        <v>1</v>
      </c>
      <c r="AC38" s="1">
        <f>IF(AB38&gt;0,1,0)</f>
        <v>1</v>
      </c>
      <c r="AD38" s="1">
        <f>Z38+AA38-AB38</f>
        <v>1</v>
      </c>
      <c r="AE38" s="1">
        <f>AB38/AD38</f>
        <v>1</v>
      </c>
      <c r="AF38" s="1">
        <f>1-AE38</f>
        <v>0</v>
      </c>
    </row>
    <row r="39" spans="25:32" x14ac:dyDescent="0.3">
      <c r="Y39" s="2" t="s">
        <v>350</v>
      </c>
      <c r="Z39" s="1">
        <v>1</v>
      </c>
      <c r="AA39" s="1">
        <v>1</v>
      </c>
      <c r="AB39" s="1">
        <v>1</v>
      </c>
      <c r="AC39" s="1">
        <f>IF(AB39&gt;0,1,0)</f>
        <v>1</v>
      </c>
      <c r="AD39" s="1">
        <f>Z39+AA39-AB39</f>
        <v>1</v>
      </c>
      <c r="AE39" s="1">
        <f>AB39/AD39</f>
        <v>1</v>
      </c>
      <c r="AF39" s="1">
        <f>1-AE39</f>
        <v>0</v>
      </c>
    </row>
    <row r="40" spans="25:32" x14ac:dyDescent="0.3">
      <c r="Y40" s="2" t="s">
        <v>349</v>
      </c>
      <c r="Z40" s="1">
        <v>2</v>
      </c>
      <c r="AA40" s="1">
        <v>1</v>
      </c>
      <c r="AB40" s="1">
        <v>1</v>
      </c>
      <c r="AC40" s="1">
        <f>IF(AB40&gt;0,1,0)</f>
        <v>1</v>
      </c>
      <c r="AD40" s="1">
        <f>Z40+AA40-AB40</f>
        <v>2</v>
      </c>
      <c r="AE40" s="1">
        <f>AB40/AD40</f>
        <v>0.5</v>
      </c>
      <c r="AF40" s="1">
        <f>1-AE40</f>
        <v>0.5</v>
      </c>
    </row>
    <row r="41" spans="25:32" x14ac:dyDescent="0.3">
      <c r="Y41" s="2" t="s">
        <v>348</v>
      </c>
      <c r="Z41" s="1">
        <v>1</v>
      </c>
      <c r="AA41" s="1">
        <v>1</v>
      </c>
      <c r="AB41" s="1">
        <v>1</v>
      </c>
      <c r="AC41" s="1">
        <f>IF(AB41&gt;0,1,0)</f>
        <v>1</v>
      </c>
      <c r="AD41" s="1">
        <f>Z41+AA41-AB41</f>
        <v>1</v>
      </c>
      <c r="AE41" s="1">
        <f>AB41/AD41</f>
        <v>1</v>
      </c>
      <c r="AF41" s="1">
        <f>1-AE41</f>
        <v>0</v>
      </c>
    </row>
    <row r="42" spans="25:32" x14ac:dyDescent="0.3">
      <c r="Y42" s="2" t="s">
        <v>347</v>
      </c>
      <c r="Z42" s="1">
        <v>3</v>
      </c>
      <c r="AA42" s="1">
        <v>2</v>
      </c>
      <c r="AB42" s="1">
        <v>1</v>
      </c>
      <c r="AC42" s="1">
        <f>IF(AB42&gt;0,1,0)</f>
        <v>1</v>
      </c>
      <c r="AD42" s="1">
        <f>Z42+AA42-AB42</f>
        <v>4</v>
      </c>
      <c r="AE42" s="1">
        <f>AB42/AD42</f>
        <v>0.25</v>
      </c>
      <c r="AF42" s="1">
        <f>1-AE42</f>
        <v>0.75</v>
      </c>
    </row>
    <row r="43" spans="25:32" x14ac:dyDescent="0.3">
      <c r="Y43" s="2" t="s">
        <v>346</v>
      </c>
      <c r="Z43" s="1">
        <v>9</v>
      </c>
      <c r="AA43" s="1">
        <v>2</v>
      </c>
      <c r="AB43" s="1">
        <v>1</v>
      </c>
      <c r="AC43" s="1">
        <f>IF(AB43&gt;0,1,0)</f>
        <v>1</v>
      </c>
      <c r="AD43" s="1">
        <f>Z43+AA43-AB43</f>
        <v>10</v>
      </c>
      <c r="AE43" s="1">
        <f>AB43/AD43</f>
        <v>0.1</v>
      </c>
      <c r="AF43" s="1">
        <f>1-AE43</f>
        <v>0.9</v>
      </c>
    </row>
    <row r="44" spans="25:32" x14ac:dyDescent="0.3">
      <c r="Y44" s="2" t="s">
        <v>345</v>
      </c>
      <c r="Z44" s="1">
        <v>3</v>
      </c>
      <c r="AA44" s="1">
        <v>2</v>
      </c>
      <c r="AB44" s="1">
        <v>1</v>
      </c>
      <c r="AC44" s="1">
        <f>IF(AB44&gt;0,1,0)</f>
        <v>1</v>
      </c>
      <c r="AD44" s="1">
        <f>Z44+AA44-AB44</f>
        <v>4</v>
      </c>
      <c r="AE44" s="1">
        <f>AB44/AD44</f>
        <v>0.25</v>
      </c>
      <c r="AF44" s="1">
        <f>1-AE44</f>
        <v>0.75</v>
      </c>
    </row>
    <row r="45" spans="25:32" x14ac:dyDescent="0.3">
      <c r="Y45" s="2" t="s">
        <v>344</v>
      </c>
      <c r="Z45" s="1">
        <v>2</v>
      </c>
      <c r="AA45" s="1">
        <v>3</v>
      </c>
      <c r="AB45" s="1">
        <v>1</v>
      </c>
      <c r="AC45" s="1">
        <f>IF(AB45&gt;0,1,0)</f>
        <v>1</v>
      </c>
      <c r="AD45" s="1">
        <f>Z45+AA45-AB45</f>
        <v>4</v>
      </c>
      <c r="AE45" s="1">
        <f>AB45/AD45</f>
        <v>0.25</v>
      </c>
      <c r="AF45" s="1">
        <f>1-AE45</f>
        <v>0.75</v>
      </c>
    </row>
    <row r="46" spans="25:32" x14ac:dyDescent="0.3">
      <c r="Y46" s="2" t="s">
        <v>343</v>
      </c>
      <c r="Z46" s="1">
        <v>1</v>
      </c>
      <c r="AA46" s="1">
        <v>3</v>
      </c>
      <c r="AB46" s="1">
        <v>1</v>
      </c>
      <c r="AC46" s="1">
        <f>IF(AB46&gt;0,1,0)</f>
        <v>1</v>
      </c>
      <c r="AD46" s="1">
        <f>Z46+AA46-AB46</f>
        <v>3</v>
      </c>
      <c r="AE46" s="1">
        <f>AB46/AD46</f>
        <v>0.33333333333333331</v>
      </c>
      <c r="AF46" s="1">
        <f>1-AE46</f>
        <v>0.66666666666666674</v>
      </c>
    </row>
    <row r="47" spans="25:32" x14ac:dyDescent="0.3">
      <c r="Y47" s="2" t="s">
        <v>342</v>
      </c>
      <c r="Z47" s="1">
        <v>4</v>
      </c>
      <c r="AA47" s="1">
        <v>3</v>
      </c>
      <c r="AB47" s="1">
        <v>1</v>
      </c>
      <c r="AC47" s="1">
        <f>IF(AB47&gt;0,1,0)</f>
        <v>1</v>
      </c>
      <c r="AD47" s="1">
        <f>Z47+AA47-AB47</f>
        <v>6</v>
      </c>
      <c r="AE47" s="1">
        <f>AB47/AD47</f>
        <v>0.16666666666666666</v>
      </c>
      <c r="AF47" s="1">
        <f>1-AE47</f>
        <v>0.83333333333333337</v>
      </c>
    </row>
    <row r="48" spans="25:32" x14ac:dyDescent="0.3">
      <c r="Y48" s="2" t="s">
        <v>341</v>
      </c>
      <c r="Z48" s="1">
        <v>1</v>
      </c>
      <c r="AA48" s="1">
        <v>3</v>
      </c>
      <c r="AB48" s="1">
        <v>1</v>
      </c>
      <c r="AC48" s="1">
        <f>IF(AB48&gt;0,1,0)</f>
        <v>1</v>
      </c>
      <c r="AD48" s="1">
        <f>Z48+AA48-AB48</f>
        <v>3</v>
      </c>
      <c r="AE48" s="1">
        <f>AB48/AD48</f>
        <v>0.33333333333333331</v>
      </c>
      <c r="AF48" s="1">
        <f>1-AE48</f>
        <v>0.66666666666666674</v>
      </c>
    </row>
    <row r="49" spans="25:32" x14ac:dyDescent="0.3">
      <c r="Y49" s="2" t="s">
        <v>340</v>
      </c>
      <c r="Z49" s="1">
        <v>5</v>
      </c>
      <c r="AA49" s="1">
        <v>3</v>
      </c>
      <c r="AB49" s="1">
        <v>1</v>
      </c>
      <c r="AC49" s="1">
        <f>IF(AB49&gt;0,1,0)</f>
        <v>1</v>
      </c>
      <c r="AD49" s="1">
        <f>Z49+AA49-AB49</f>
        <v>7</v>
      </c>
      <c r="AE49" s="1">
        <f>AB49/AD49</f>
        <v>0.14285714285714285</v>
      </c>
      <c r="AF49" s="1">
        <f>1-AE49</f>
        <v>0.85714285714285721</v>
      </c>
    </row>
    <row r="50" spans="25:32" x14ac:dyDescent="0.3">
      <c r="Y50" s="2" t="s">
        <v>339</v>
      </c>
      <c r="Z50" s="1">
        <v>2</v>
      </c>
      <c r="AA50" s="1">
        <v>4</v>
      </c>
      <c r="AB50" s="1">
        <v>1</v>
      </c>
      <c r="AC50" s="1">
        <f>IF(AB50&gt;0,1,0)</f>
        <v>1</v>
      </c>
      <c r="AD50" s="1">
        <f>Z50+AA50-AB50</f>
        <v>5</v>
      </c>
      <c r="AE50" s="1">
        <f>AB50/AD50</f>
        <v>0.2</v>
      </c>
      <c r="AF50" s="1">
        <f>1-AE50</f>
        <v>0.8</v>
      </c>
    </row>
    <row r="51" spans="25:32" x14ac:dyDescent="0.3">
      <c r="Y51" s="2" t="s">
        <v>338</v>
      </c>
      <c r="Z51" s="1">
        <v>1</v>
      </c>
      <c r="AA51" s="1">
        <v>5</v>
      </c>
      <c r="AB51" s="1">
        <v>1</v>
      </c>
      <c r="AC51" s="1">
        <f>IF(AB51&gt;0,1,0)</f>
        <v>1</v>
      </c>
      <c r="AD51" s="1">
        <f>Z51+AA51-AB51</f>
        <v>5</v>
      </c>
      <c r="AE51" s="1">
        <f>AB51/AD51</f>
        <v>0.2</v>
      </c>
      <c r="AF51" s="1">
        <f>1-AE51</f>
        <v>0.8</v>
      </c>
    </row>
    <row r="52" spans="25:32" x14ac:dyDescent="0.3">
      <c r="Y52" s="2" t="s">
        <v>337</v>
      </c>
      <c r="Z52" s="1">
        <v>4</v>
      </c>
      <c r="AA52" s="1">
        <v>5</v>
      </c>
      <c r="AB52" s="1">
        <v>1</v>
      </c>
      <c r="AC52" s="1">
        <f>IF(AB52&gt;0,1,0)</f>
        <v>1</v>
      </c>
      <c r="AD52" s="1">
        <f>Z52+AA52-AB52</f>
        <v>8</v>
      </c>
      <c r="AE52" s="1">
        <f>AB52/AD52</f>
        <v>0.125</v>
      </c>
      <c r="AF52" s="1">
        <f>1-AE52</f>
        <v>0.875</v>
      </c>
    </row>
    <row r="53" spans="25:32" x14ac:dyDescent="0.3">
      <c r="Y53" s="1" t="s">
        <v>336</v>
      </c>
      <c r="Z53" s="1">
        <v>5</v>
      </c>
      <c r="AA53" s="1">
        <v>5</v>
      </c>
      <c r="AB53" s="1">
        <v>1</v>
      </c>
      <c r="AC53" s="1">
        <f>IF(AB53&gt;0,1,0)</f>
        <v>1</v>
      </c>
      <c r="AD53" s="1">
        <f>Z53+AA53-AB53</f>
        <v>9</v>
      </c>
      <c r="AE53" s="1">
        <f>AB53/AD53</f>
        <v>0.1111111111111111</v>
      </c>
      <c r="AF53" s="1">
        <f>1-AE53</f>
        <v>0.88888888888888884</v>
      </c>
    </row>
    <row r="54" spans="25:32" x14ac:dyDescent="0.3">
      <c r="Y54" s="2" t="s">
        <v>335</v>
      </c>
      <c r="Z54" s="1">
        <v>4</v>
      </c>
      <c r="AA54" s="1">
        <v>5</v>
      </c>
      <c r="AB54" s="1">
        <v>1</v>
      </c>
      <c r="AC54" s="1">
        <f>IF(AB54&gt;0,1,0)</f>
        <v>1</v>
      </c>
      <c r="AD54" s="1">
        <f>Z54+AA54-AB54</f>
        <v>8</v>
      </c>
      <c r="AE54" s="1">
        <f>AB54/AD54</f>
        <v>0.125</v>
      </c>
      <c r="AF54" s="1">
        <f>1-AE54</f>
        <v>0.875</v>
      </c>
    </row>
    <row r="55" spans="25:32" x14ac:dyDescent="0.3">
      <c r="Y55" s="2" t="s">
        <v>334</v>
      </c>
      <c r="Z55" s="1">
        <v>6</v>
      </c>
      <c r="AA55" s="1">
        <v>6</v>
      </c>
      <c r="AB55" s="1">
        <v>1</v>
      </c>
      <c r="AC55" s="1">
        <f>IF(AB55&gt;0,1,0)</f>
        <v>1</v>
      </c>
      <c r="AD55" s="1">
        <f>Z55+AA55-AB55</f>
        <v>11</v>
      </c>
      <c r="AE55" s="1">
        <f>AB55/AD55</f>
        <v>9.0909090909090912E-2</v>
      </c>
      <c r="AF55" s="1">
        <f>1-AE55</f>
        <v>0.90909090909090906</v>
      </c>
    </row>
    <row r="56" spans="25:32" x14ac:dyDescent="0.3">
      <c r="Y56" s="2" t="s">
        <v>333</v>
      </c>
      <c r="Z56" s="1">
        <v>10</v>
      </c>
      <c r="AA56" s="1">
        <v>6</v>
      </c>
      <c r="AB56" s="1">
        <v>1</v>
      </c>
      <c r="AC56" s="1">
        <f>IF(AB56&gt;0,1,0)</f>
        <v>1</v>
      </c>
      <c r="AD56" s="1">
        <f>Z56+AA56-AB56</f>
        <v>15</v>
      </c>
      <c r="AE56" s="1">
        <f>AB56/AD56</f>
        <v>6.6666666666666666E-2</v>
      </c>
      <c r="AF56" s="1">
        <f>1-AE56</f>
        <v>0.93333333333333335</v>
      </c>
    </row>
    <row r="57" spans="25:32" x14ac:dyDescent="0.3">
      <c r="Y57" s="2" t="s">
        <v>332</v>
      </c>
      <c r="Z57" s="1">
        <v>3</v>
      </c>
      <c r="AA57" s="1">
        <v>8</v>
      </c>
      <c r="AB57" s="1">
        <v>1</v>
      </c>
      <c r="AC57" s="1">
        <f>IF(AB57&gt;0,1,0)</f>
        <v>1</v>
      </c>
      <c r="AD57" s="1">
        <f>Z57+AA57-AB57</f>
        <v>10</v>
      </c>
      <c r="AE57" s="1">
        <f>AB57/AD57</f>
        <v>0.1</v>
      </c>
      <c r="AF57" s="1">
        <f>1-AE57</f>
        <v>0.9</v>
      </c>
    </row>
    <row r="58" spans="25:32" x14ac:dyDescent="0.3">
      <c r="Y58" s="2" t="s">
        <v>331</v>
      </c>
      <c r="Z58" s="1">
        <v>2</v>
      </c>
      <c r="AA58" s="1">
        <v>8</v>
      </c>
      <c r="AB58" s="1">
        <v>1</v>
      </c>
      <c r="AC58" s="1">
        <f>IF(AB58&gt;0,1,0)</f>
        <v>1</v>
      </c>
      <c r="AD58" s="1">
        <f>Z58+AA58-AB58</f>
        <v>9</v>
      </c>
      <c r="AE58" s="1">
        <f>AB58/AD58</f>
        <v>0.1111111111111111</v>
      </c>
      <c r="AF58" s="1">
        <f>1-AE58</f>
        <v>0.88888888888888884</v>
      </c>
    </row>
    <row r="59" spans="25:32" x14ac:dyDescent="0.3">
      <c r="Y59" s="1" t="s">
        <v>330</v>
      </c>
      <c r="Z59" s="1">
        <v>1</v>
      </c>
      <c r="AA59" s="1">
        <v>11</v>
      </c>
      <c r="AB59" s="1">
        <v>1</v>
      </c>
      <c r="AC59" s="1">
        <f>IF(AB59&gt;0,1,0)</f>
        <v>1</v>
      </c>
      <c r="AD59" s="1">
        <f>Z59+AA59-AB59</f>
        <v>11</v>
      </c>
      <c r="AE59" s="1">
        <f>AB59/AD59</f>
        <v>9.0909090909090912E-2</v>
      </c>
      <c r="AF59" s="1">
        <f>1-AE59</f>
        <v>0.90909090909090906</v>
      </c>
    </row>
    <row r="60" spans="25:32" x14ac:dyDescent="0.3">
      <c r="Y60" s="2" t="s">
        <v>329</v>
      </c>
      <c r="Z60" s="1">
        <v>2</v>
      </c>
      <c r="AA60" s="1">
        <v>11</v>
      </c>
      <c r="AB60" s="1">
        <v>1</v>
      </c>
      <c r="AC60" s="1">
        <f>IF(AB60&gt;0,1,0)</f>
        <v>1</v>
      </c>
      <c r="AD60" s="1">
        <f>Z60+AA60-AB60</f>
        <v>12</v>
      </c>
      <c r="AE60" s="1">
        <f>AB60/AD60</f>
        <v>8.3333333333333329E-2</v>
      </c>
      <c r="AF60" s="1">
        <f>1-AE60</f>
        <v>0.91666666666666663</v>
      </c>
    </row>
    <row r="61" spans="25:32" x14ac:dyDescent="0.3">
      <c r="Y61" s="2" t="s">
        <v>328</v>
      </c>
      <c r="Z61" s="1">
        <v>1</v>
      </c>
      <c r="AA61" s="1">
        <v>12</v>
      </c>
      <c r="AB61" s="1">
        <v>1</v>
      </c>
      <c r="AC61" s="1">
        <f>IF(AB61&gt;0,1,0)</f>
        <v>1</v>
      </c>
      <c r="AD61" s="1">
        <f>Z61+AA61-AB61</f>
        <v>12</v>
      </c>
      <c r="AE61" s="1">
        <f>AB61/AD61</f>
        <v>8.3333333333333329E-2</v>
      </c>
      <c r="AF61" s="1">
        <f>1-AE61</f>
        <v>0.91666666666666663</v>
      </c>
    </row>
    <row r="62" spans="25:32" x14ac:dyDescent="0.3">
      <c r="Y62" s="2" t="s">
        <v>327</v>
      </c>
      <c r="Z62" s="1">
        <v>27</v>
      </c>
      <c r="AA62" s="1">
        <v>12</v>
      </c>
      <c r="AB62" s="1">
        <v>1</v>
      </c>
      <c r="AC62" s="1">
        <f>IF(AB62&gt;0,1,0)</f>
        <v>1</v>
      </c>
      <c r="AD62" s="1">
        <f>Z62+AA62-AB62</f>
        <v>38</v>
      </c>
      <c r="AE62" s="1">
        <f>AB62/AD62</f>
        <v>2.6315789473684209E-2</v>
      </c>
      <c r="AF62" s="1">
        <f>1-AE62</f>
        <v>0.97368421052631582</v>
      </c>
    </row>
    <row r="63" spans="25:32" x14ac:dyDescent="0.3">
      <c r="Y63" s="2" t="s">
        <v>326</v>
      </c>
      <c r="Z63" s="1">
        <v>1</v>
      </c>
      <c r="AA63" s="1">
        <v>12</v>
      </c>
      <c r="AB63" s="1">
        <v>1</v>
      </c>
      <c r="AC63" s="1">
        <f>IF(AB63&gt;0,1,0)</f>
        <v>1</v>
      </c>
      <c r="AD63" s="1">
        <f>Z63+AA63-AB63</f>
        <v>12</v>
      </c>
      <c r="AE63" s="1">
        <f>AB63/AD63</f>
        <v>8.3333333333333329E-2</v>
      </c>
      <c r="AF63" s="1">
        <f>1-AE63</f>
        <v>0.91666666666666663</v>
      </c>
    </row>
    <row r="64" spans="25:32" x14ac:dyDescent="0.3">
      <c r="Y64" s="2" t="s">
        <v>325</v>
      </c>
      <c r="Z64" s="1">
        <v>1</v>
      </c>
      <c r="AA64" s="1">
        <v>14</v>
      </c>
      <c r="AB64" s="1">
        <v>1</v>
      </c>
      <c r="AC64" s="1">
        <f>IF(AB64&gt;0,1,0)</f>
        <v>1</v>
      </c>
      <c r="AD64" s="1">
        <f>Z64+AA64-AB64</f>
        <v>14</v>
      </c>
      <c r="AE64" s="1">
        <f>AB64/AD64</f>
        <v>7.1428571428571425E-2</v>
      </c>
      <c r="AF64" s="1">
        <f>1-AE64</f>
        <v>0.9285714285714286</v>
      </c>
    </row>
    <row r="65" spans="25:32" x14ac:dyDescent="0.3">
      <c r="Y65" s="2" t="s">
        <v>324</v>
      </c>
      <c r="Z65" s="1">
        <v>3</v>
      </c>
      <c r="AA65" s="1">
        <v>16</v>
      </c>
      <c r="AB65" s="1">
        <v>1</v>
      </c>
      <c r="AC65" s="1">
        <f>IF(AB65&gt;0,1,0)</f>
        <v>1</v>
      </c>
      <c r="AD65" s="1">
        <f>Z65+AA65-AB65</f>
        <v>18</v>
      </c>
      <c r="AE65" s="1">
        <f>AB65/AD65</f>
        <v>5.5555555555555552E-2</v>
      </c>
      <c r="AF65" s="1">
        <f>1-AE65</f>
        <v>0.94444444444444442</v>
      </c>
    </row>
    <row r="66" spans="25:32" x14ac:dyDescent="0.3">
      <c r="Y66" s="2" t="s">
        <v>323</v>
      </c>
      <c r="Z66" s="1">
        <v>1</v>
      </c>
      <c r="AA66" s="1">
        <v>29</v>
      </c>
      <c r="AB66" s="1">
        <v>1</v>
      </c>
      <c r="AC66" s="1">
        <f>IF(AB66&gt;0,1,0)</f>
        <v>1</v>
      </c>
      <c r="AD66" s="1">
        <f>Z66+AA66-AB66</f>
        <v>29</v>
      </c>
      <c r="AE66" s="1">
        <f>AB66/AD66</f>
        <v>3.4482758620689655E-2</v>
      </c>
      <c r="AF66" s="1">
        <f>1-AE66</f>
        <v>0.96551724137931039</v>
      </c>
    </row>
    <row r="67" spans="25:32" x14ac:dyDescent="0.3">
      <c r="Y67" s="2" t="s">
        <v>322</v>
      </c>
      <c r="Z67" s="1">
        <v>11</v>
      </c>
      <c r="AA67" s="1">
        <v>34</v>
      </c>
      <c r="AB67" s="1">
        <v>1</v>
      </c>
      <c r="AC67" s="1">
        <f>IF(AB67&gt;0,1,0)</f>
        <v>1</v>
      </c>
      <c r="AD67" s="1">
        <f>Z67+AA67-AB67</f>
        <v>44</v>
      </c>
      <c r="AE67" s="1">
        <f>AB67/AD67</f>
        <v>2.2727272727272728E-2</v>
      </c>
      <c r="AF67" s="1">
        <f>1-AE67</f>
        <v>0.97727272727272729</v>
      </c>
    </row>
    <row r="68" spans="25:32" x14ac:dyDescent="0.3">
      <c r="Y68" s="2" t="s">
        <v>321</v>
      </c>
      <c r="Z68" s="1">
        <v>1</v>
      </c>
      <c r="AA68" s="1">
        <v>40</v>
      </c>
      <c r="AB68" s="1">
        <v>1</v>
      </c>
      <c r="AC68" s="1">
        <f>IF(AB68&gt;0,1,0)</f>
        <v>1</v>
      </c>
      <c r="AD68" s="1">
        <f>Z68+AA68-AB68</f>
        <v>40</v>
      </c>
      <c r="AE68" s="1">
        <f>AB68/AD68</f>
        <v>2.5000000000000001E-2</v>
      </c>
      <c r="AF68" s="1">
        <f>1-AE68</f>
        <v>0.97499999999999998</v>
      </c>
    </row>
    <row r="69" spans="25:32" x14ac:dyDescent="0.3">
      <c r="Y69" s="2" t="s">
        <v>320</v>
      </c>
      <c r="Z69" s="1">
        <v>4</v>
      </c>
      <c r="AA69" s="1">
        <v>54</v>
      </c>
      <c r="AB69" s="1">
        <v>1</v>
      </c>
      <c r="AC69" s="1">
        <f>IF(AB69&gt;0,1,0)</f>
        <v>1</v>
      </c>
      <c r="AD69" s="1">
        <f>Z69+AA69-AB69</f>
        <v>57</v>
      </c>
      <c r="AE69" s="1">
        <f>AB69/AD69</f>
        <v>1.7543859649122806E-2</v>
      </c>
      <c r="AF69" s="1">
        <f>1-AE69</f>
        <v>0.98245614035087714</v>
      </c>
    </row>
    <row r="70" spans="25:32" x14ac:dyDescent="0.3">
      <c r="Y70" s="2" t="s">
        <v>319</v>
      </c>
      <c r="Z70" s="1">
        <v>1</v>
      </c>
      <c r="AA70" s="1">
        <v>65</v>
      </c>
      <c r="AB70" s="1">
        <v>1</v>
      </c>
      <c r="AC70" s="1">
        <f>IF(AB70&gt;0,1,0)</f>
        <v>1</v>
      </c>
      <c r="AD70" s="1">
        <f>Z70+AA70-AB70</f>
        <v>65</v>
      </c>
      <c r="AE70" s="1">
        <f>AB70/AD70</f>
        <v>1.5384615384615385E-2</v>
      </c>
      <c r="AF70" s="1">
        <f>1-AE70</f>
        <v>0.98461538461538467</v>
      </c>
    </row>
    <row r="71" spans="25:32" x14ac:dyDescent="0.3">
      <c r="Y71" s="2" t="s">
        <v>318</v>
      </c>
      <c r="Z71" s="1">
        <v>1</v>
      </c>
      <c r="AA71" s="1">
        <v>69</v>
      </c>
      <c r="AB71" s="1">
        <v>1</v>
      </c>
      <c r="AC71" s="1">
        <f>IF(AB71&gt;0,1,0)</f>
        <v>1</v>
      </c>
      <c r="AD71" s="1">
        <f>Z71+AA71-AB71</f>
        <v>69</v>
      </c>
      <c r="AE71" s="1">
        <f>AB71/AD71</f>
        <v>1.4492753623188406E-2</v>
      </c>
      <c r="AF71" s="1">
        <f>1-AE71</f>
        <v>0.98550724637681164</v>
      </c>
    </row>
    <row r="72" spans="25:32" x14ac:dyDescent="0.3">
      <c r="Y72" s="2" t="s">
        <v>317</v>
      </c>
      <c r="Z72" s="1">
        <v>1</v>
      </c>
      <c r="AA72" s="1">
        <v>116</v>
      </c>
      <c r="AB72" s="1">
        <v>1</v>
      </c>
      <c r="AC72" s="1">
        <f>IF(AB72&gt;0,1,0)</f>
        <v>1</v>
      </c>
      <c r="AD72" s="1">
        <f>Z72+AA72-AB72</f>
        <v>116</v>
      </c>
      <c r="AE72" s="1">
        <f>AB72/AD72</f>
        <v>8.6206896551724137E-3</v>
      </c>
      <c r="AF72" s="1">
        <f>1-AE72</f>
        <v>0.99137931034482762</v>
      </c>
    </row>
    <row r="73" spans="25:32" x14ac:dyDescent="0.3">
      <c r="Y73" s="2" t="s">
        <v>316</v>
      </c>
      <c r="Z73" s="1">
        <v>1</v>
      </c>
      <c r="AA73" s="1">
        <v>135</v>
      </c>
      <c r="AB73" s="1">
        <v>1</v>
      </c>
      <c r="AC73" s="1">
        <f>IF(AB73&gt;0,1,0)</f>
        <v>1</v>
      </c>
      <c r="AD73" s="1">
        <f>Z73+AA73-AB73</f>
        <v>135</v>
      </c>
      <c r="AE73" s="1">
        <f>AB73/AD73</f>
        <v>7.4074074074074077E-3</v>
      </c>
      <c r="AF73" s="1">
        <f>1-AE73</f>
        <v>0.99259259259259258</v>
      </c>
    </row>
    <row r="74" spans="25:32" x14ac:dyDescent="0.3">
      <c r="Y74" s="2" t="s">
        <v>315</v>
      </c>
      <c r="Z74" s="1">
        <v>3</v>
      </c>
      <c r="AA74" s="1">
        <v>188</v>
      </c>
      <c r="AB74" s="1">
        <v>1</v>
      </c>
      <c r="AC74" s="1">
        <f>IF(AB74&gt;0,1,0)</f>
        <v>1</v>
      </c>
      <c r="AD74" s="1">
        <f>Z74+AA74-AB74</f>
        <v>190</v>
      </c>
      <c r="AE74" s="1">
        <f>AB74/AD74</f>
        <v>5.263157894736842E-3</v>
      </c>
      <c r="AF74" s="1">
        <f>1-AE74</f>
        <v>0.99473684210526314</v>
      </c>
    </row>
    <row r="75" spans="25:32" x14ac:dyDescent="0.3">
      <c r="Y75" s="2" t="s">
        <v>314</v>
      </c>
      <c r="Z75" s="1">
        <v>0</v>
      </c>
      <c r="AA75" s="1">
        <v>1</v>
      </c>
      <c r="AB75" s="1">
        <v>0</v>
      </c>
      <c r="AC75" s="1">
        <f>IF(AB75&gt;0,1,0)</f>
        <v>0</v>
      </c>
      <c r="AD75" s="1">
        <f>Z75+AA75-AB75</f>
        <v>1</v>
      </c>
      <c r="AE75" s="1">
        <f>AB75/AD75</f>
        <v>0</v>
      </c>
      <c r="AF75" s="1">
        <f>1-AE75</f>
        <v>1</v>
      </c>
    </row>
    <row r="76" spans="25:32" x14ac:dyDescent="0.3">
      <c r="Y76" s="2" t="s">
        <v>313</v>
      </c>
      <c r="Z76" s="1">
        <v>1</v>
      </c>
      <c r="AA76" s="1">
        <v>1</v>
      </c>
      <c r="AB76" s="1">
        <v>0</v>
      </c>
      <c r="AC76" s="1">
        <f>IF(AB76&gt;0,1,0)</f>
        <v>0</v>
      </c>
      <c r="AD76" s="1">
        <f>Z76+AA76-AB76</f>
        <v>2</v>
      </c>
      <c r="AE76" s="1">
        <f>AB76/AD76</f>
        <v>0</v>
      </c>
      <c r="AF76" s="1">
        <f>1-AE76</f>
        <v>1</v>
      </c>
    </row>
    <row r="77" spans="25:32" x14ac:dyDescent="0.3">
      <c r="Y77" s="2" t="s">
        <v>312</v>
      </c>
      <c r="Z77" s="1">
        <v>68</v>
      </c>
      <c r="AA77" s="1">
        <v>1</v>
      </c>
      <c r="AB77" s="1">
        <v>0</v>
      </c>
      <c r="AC77" s="1">
        <f>IF(AB77&gt;0,1,0)</f>
        <v>0</v>
      </c>
      <c r="AD77" s="1">
        <f>Z77+AA77-AB77</f>
        <v>69</v>
      </c>
      <c r="AE77" s="1">
        <f>AB77/AD77</f>
        <v>0</v>
      </c>
      <c r="AF77" s="1">
        <f>1-AE77</f>
        <v>1</v>
      </c>
    </row>
    <row r="78" spans="25:32" x14ac:dyDescent="0.3">
      <c r="Y78" s="2" t="s">
        <v>311</v>
      </c>
      <c r="Z78" s="1">
        <v>23</v>
      </c>
      <c r="AA78" s="1">
        <v>1</v>
      </c>
      <c r="AB78" s="1">
        <v>0</v>
      </c>
      <c r="AC78" s="1">
        <f>IF(AB78&gt;0,1,0)</f>
        <v>0</v>
      </c>
      <c r="AD78" s="1">
        <f>Z78+AA78-AB78</f>
        <v>24</v>
      </c>
      <c r="AE78" s="1">
        <f>AB78/AD78</f>
        <v>0</v>
      </c>
      <c r="AF78" s="1">
        <f>1-AE78</f>
        <v>1</v>
      </c>
    </row>
    <row r="79" spans="25:32" x14ac:dyDescent="0.3">
      <c r="Y79" s="2" t="s">
        <v>310</v>
      </c>
      <c r="Z79" s="1">
        <v>1</v>
      </c>
      <c r="AA79" s="1">
        <v>2</v>
      </c>
      <c r="AB79" s="1">
        <v>0</v>
      </c>
      <c r="AC79" s="1">
        <f>IF(AB79&gt;0,1,0)</f>
        <v>0</v>
      </c>
      <c r="AD79" s="1">
        <f>Z79+AA79-AB79</f>
        <v>3</v>
      </c>
      <c r="AE79" s="1">
        <f>AB79/AD79</f>
        <v>0</v>
      </c>
      <c r="AF79" s="1">
        <f>1-AE79</f>
        <v>1</v>
      </c>
    </row>
    <row r="80" spans="25:32" x14ac:dyDescent="0.3">
      <c r="Y80" s="2" t="s">
        <v>309</v>
      </c>
      <c r="Z80" s="1">
        <v>7</v>
      </c>
      <c r="AA80" s="1">
        <v>3</v>
      </c>
      <c r="AB80" s="1">
        <v>0</v>
      </c>
      <c r="AC80" s="1">
        <f>IF(AB80&gt;0,1,0)</f>
        <v>0</v>
      </c>
      <c r="AD80" s="1">
        <f>Z80+AA80-AB80</f>
        <v>10</v>
      </c>
      <c r="AE80" s="1">
        <f>AB80/AD80</f>
        <v>0</v>
      </c>
      <c r="AF80" s="1">
        <f>1-AE80</f>
        <v>1</v>
      </c>
    </row>
    <row r="81" spans="25:32" x14ac:dyDescent="0.3">
      <c r="Y81" s="2" t="s">
        <v>308</v>
      </c>
      <c r="Z81" s="1">
        <v>10</v>
      </c>
      <c r="AA81" s="1">
        <v>3</v>
      </c>
      <c r="AB81" s="1">
        <v>0</v>
      </c>
      <c r="AC81" s="1">
        <f>IF(AB81&gt;0,1,0)</f>
        <v>0</v>
      </c>
      <c r="AD81" s="1">
        <f>Z81+AA81-AB81</f>
        <v>13</v>
      </c>
      <c r="AE81" s="1">
        <f>AB81/AD81</f>
        <v>0</v>
      </c>
      <c r="AF81" s="1">
        <f>1-AE81</f>
        <v>1</v>
      </c>
    </row>
    <row r="82" spans="25:32" x14ac:dyDescent="0.3">
      <c r="Y82" s="2" t="s">
        <v>307</v>
      </c>
      <c r="Z82" s="1">
        <v>3</v>
      </c>
      <c r="AA82" s="1">
        <v>3</v>
      </c>
      <c r="AB82" s="1">
        <v>0</v>
      </c>
      <c r="AC82" s="1">
        <f>IF(AB82&gt;0,1,0)</f>
        <v>0</v>
      </c>
      <c r="AD82" s="1">
        <f>Z82+AA82-AB82</f>
        <v>6</v>
      </c>
      <c r="AE82" s="1">
        <f>AB82/AD82</f>
        <v>0</v>
      </c>
      <c r="AF82" s="1">
        <f>1-AE82</f>
        <v>1</v>
      </c>
    </row>
    <row r="83" spans="25:32" x14ac:dyDescent="0.3">
      <c r="Y83" s="2" t="s">
        <v>306</v>
      </c>
      <c r="Z83" s="1">
        <v>9</v>
      </c>
      <c r="AA83" s="1">
        <v>4</v>
      </c>
      <c r="AB83" s="1">
        <v>0</v>
      </c>
      <c r="AC83" s="1">
        <f>IF(AB83&gt;0,1,0)</f>
        <v>0</v>
      </c>
      <c r="AD83" s="1">
        <f>Z83+AA83-AB83</f>
        <v>13</v>
      </c>
      <c r="AE83" s="1">
        <f>AB83/AD83</f>
        <v>0</v>
      </c>
      <c r="AF83" s="1">
        <f>1-AE83</f>
        <v>1</v>
      </c>
    </row>
    <row r="84" spans="25:32" x14ac:dyDescent="0.3">
      <c r="Y84" s="1" t="s">
        <v>305</v>
      </c>
      <c r="Z84" s="1">
        <v>0</v>
      </c>
      <c r="AA84" s="1">
        <v>4</v>
      </c>
      <c r="AB84" s="1">
        <v>0</v>
      </c>
      <c r="AC84" s="1">
        <f>IF(AB84&gt;0,1,0)</f>
        <v>0</v>
      </c>
      <c r="AD84" s="1">
        <f>Z84+AA84-AB84</f>
        <v>4</v>
      </c>
      <c r="AE84" s="1">
        <f>AB84/AD84</f>
        <v>0</v>
      </c>
      <c r="AF84" s="1">
        <f>1-AE84</f>
        <v>1</v>
      </c>
    </row>
    <row r="85" spans="25:32" x14ac:dyDescent="0.3">
      <c r="Y85" s="2" t="s">
        <v>304</v>
      </c>
      <c r="Z85" s="1">
        <v>8</v>
      </c>
      <c r="AA85" s="1">
        <v>7</v>
      </c>
      <c r="AB85" s="1">
        <v>0</v>
      </c>
      <c r="AC85" s="1">
        <f>IF(AB85&gt;0,1,0)</f>
        <v>0</v>
      </c>
      <c r="AD85" s="1">
        <f>Z85+AA85-AB85</f>
        <v>15</v>
      </c>
      <c r="AE85" s="1">
        <f>AB85/AD85</f>
        <v>0</v>
      </c>
      <c r="AF85" s="1">
        <f>1-AE85</f>
        <v>1</v>
      </c>
    </row>
    <row r="86" spans="25:32" x14ac:dyDescent="0.3">
      <c r="Y86" s="2" t="s">
        <v>303</v>
      </c>
      <c r="Z86" s="1">
        <v>2</v>
      </c>
      <c r="AA86" s="1">
        <v>7</v>
      </c>
      <c r="AB86" s="1">
        <v>0</v>
      </c>
      <c r="AC86" s="1">
        <f>IF(AB86&gt;0,1,0)</f>
        <v>0</v>
      </c>
      <c r="AD86" s="1">
        <f>Z86+AA86-AB86</f>
        <v>9</v>
      </c>
      <c r="AE86" s="1">
        <f>AB86/AD86</f>
        <v>0</v>
      </c>
      <c r="AF86" s="1">
        <f>1-AE86</f>
        <v>1</v>
      </c>
    </row>
    <row r="87" spans="25:32" x14ac:dyDescent="0.3">
      <c r="Y87" s="3" t="s">
        <v>302</v>
      </c>
      <c r="Z87" s="1">
        <v>3</v>
      </c>
      <c r="AA87" s="1">
        <v>8</v>
      </c>
      <c r="AB87" s="1">
        <v>0</v>
      </c>
      <c r="AC87" s="1">
        <f>IF(AB87&gt;0,1,0)</f>
        <v>0</v>
      </c>
      <c r="AD87" s="1">
        <f>Z87+AA87-AB87</f>
        <v>11</v>
      </c>
      <c r="AE87" s="1">
        <f>AB87/AD87</f>
        <v>0</v>
      </c>
      <c r="AF87" s="1">
        <f>1-AE87</f>
        <v>1</v>
      </c>
    </row>
    <row r="88" spans="25:32" x14ac:dyDescent="0.3">
      <c r="Y88" s="2" t="s">
        <v>301</v>
      </c>
      <c r="Z88" s="1">
        <v>1</v>
      </c>
      <c r="AA88" s="1">
        <v>10</v>
      </c>
      <c r="AB88" s="1">
        <v>0</v>
      </c>
      <c r="AC88" s="1">
        <f>IF(AB88&gt;0,1,0)</f>
        <v>0</v>
      </c>
      <c r="AD88" s="1">
        <f>Z88+AA88-AB88</f>
        <v>11</v>
      </c>
      <c r="AE88" s="1">
        <f>AB88/AD88</f>
        <v>0</v>
      </c>
      <c r="AF88" s="1">
        <f>1-AE88</f>
        <v>1</v>
      </c>
    </row>
    <row r="89" spans="25:32" x14ac:dyDescent="0.3">
      <c r="Y89" s="2" t="s">
        <v>300</v>
      </c>
      <c r="Z89" s="1">
        <v>3</v>
      </c>
      <c r="AA89" s="1">
        <v>13</v>
      </c>
      <c r="AB89" s="1">
        <v>0</v>
      </c>
      <c r="AC89" s="1">
        <f>IF(AB89&gt;0,1,0)</f>
        <v>0</v>
      </c>
      <c r="AD89" s="1">
        <f>Z89+AA89-AB89</f>
        <v>16</v>
      </c>
      <c r="AE89" s="1">
        <f>AB89/AD89</f>
        <v>0</v>
      </c>
      <c r="AF89" s="1">
        <f>1-AE89</f>
        <v>1</v>
      </c>
    </row>
    <row r="90" spans="25:32" x14ac:dyDescent="0.3">
      <c r="Y90" s="2" t="s">
        <v>299</v>
      </c>
      <c r="Z90" s="1">
        <v>3</v>
      </c>
      <c r="AA90" s="1">
        <v>13</v>
      </c>
      <c r="AB90" s="1">
        <v>0</v>
      </c>
      <c r="AC90" s="1">
        <f>IF(AB90&gt;0,1,0)</f>
        <v>0</v>
      </c>
      <c r="AD90" s="1">
        <f>Z90+AA90-AB90</f>
        <v>16</v>
      </c>
      <c r="AE90" s="1">
        <f>AB90/AD90</f>
        <v>0</v>
      </c>
      <c r="AF90" s="1">
        <f>1-AE90</f>
        <v>1</v>
      </c>
    </row>
    <row r="91" spans="25:32" x14ac:dyDescent="0.3">
      <c r="Y91" s="3" t="s">
        <v>298</v>
      </c>
      <c r="Z91" s="1">
        <v>3</v>
      </c>
      <c r="AA91" s="1">
        <v>15</v>
      </c>
      <c r="AB91" s="1">
        <v>0</v>
      </c>
      <c r="AC91" s="1">
        <f>IF(AB91&gt;0,1,0)</f>
        <v>0</v>
      </c>
      <c r="AD91" s="1">
        <f>Z91+AA91-AB91</f>
        <v>18</v>
      </c>
      <c r="AE91" s="1">
        <f>AB91/AD91</f>
        <v>0</v>
      </c>
      <c r="AF91" s="1">
        <f>1-AE91</f>
        <v>1</v>
      </c>
    </row>
    <row r="92" spans="25:32" x14ac:dyDescent="0.3">
      <c r="Y92" s="2" t="s">
        <v>297</v>
      </c>
      <c r="Z92" s="1">
        <v>2</v>
      </c>
      <c r="AA92" s="1">
        <v>42</v>
      </c>
      <c r="AB92" s="1">
        <v>0</v>
      </c>
      <c r="AC92" s="1">
        <f>IF(AB92&gt;0,1,0)</f>
        <v>0</v>
      </c>
      <c r="AD92" s="1">
        <f>Z92+AA92-AB92</f>
        <v>44</v>
      </c>
      <c r="AE92" s="1">
        <f>AB92/AD92</f>
        <v>0</v>
      </c>
      <c r="AF92" s="1">
        <f>1-AE92</f>
        <v>1</v>
      </c>
    </row>
    <row r="93" spans="25:32" x14ac:dyDescent="0.3">
      <c r="Y93" s="2" t="s">
        <v>296</v>
      </c>
      <c r="Z93" s="1">
        <v>1</v>
      </c>
      <c r="AA93" s="1">
        <v>42</v>
      </c>
      <c r="AB93" s="1">
        <v>0</v>
      </c>
      <c r="AC93" s="1">
        <f>IF(AB93&gt;0,1,0)</f>
        <v>0</v>
      </c>
      <c r="AD93" s="1">
        <f>Z93+AA93-AB93</f>
        <v>43</v>
      </c>
      <c r="AE93" s="1">
        <f>AB93/AD93</f>
        <v>0</v>
      </c>
      <c r="AF93" s="1">
        <f>1-AE93</f>
        <v>1</v>
      </c>
    </row>
    <row r="94" spans="25:32" x14ac:dyDescent="0.3">
      <c r="Y94" s="2" t="s">
        <v>295</v>
      </c>
      <c r="Z94" s="1">
        <v>0</v>
      </c>
      <c r="AA94" s="1">
        <v>64</v>
      </c>
      <c r="AB94" s="1">
        <v>0</v>
      </c>
      <c r="AC94" s="1">
        <f>IF(AB94&gt;0,1,0)</f>
        <v>0</v>
      </c>
      <c r="AD94" s="1">
        <f>Z94+AA94-AB94</f>
        <v>64</v>
      </c>
      <c r="AE94" s="1">
        <f>AB94/AD94</f>
        <v>0</v>
      </c>
      <c r="AF94" s="1">
        <f>1-AE94</f>
        <v>1</v>
      </c>
    </row>
    <row r="95" spans="25:32" x14ac:dyDescent="0.3">
      <c r="Y95" s="2" t="s">
        <v>294</v>
      </c>
      <c r="Z95" s="1">
        <v>2</v>
      </c>
      <c r="AA95" s="1">
        <v>71</v>
      </c>
      <c r="AB95" s="1">
        <v>0</v>
      </c>
      <c r="AC95" s="1">
        <f>IF(AB95&gt;0,1,0)</f>
        <v>0</v>
      </c>
      <c r="AD95" s="1">
        <f>Z95+AA95-AB95</f>
        <v>73</v>
      </c>
      <c r="AE95" s="1">
        <f>AB95/AD95</f>
        <v>0</v>
      </c>
      <c r="AF95" s="1">
        <f>1-AE95</f>
        <v>1</v>
      </c>
    </row>
    <row r="96" spans="25:32" x14ac:dyDescent="0.3">
      <c r="Y96" s="2" t="s">
        <v>293</v>
      </c>
      <c r="Z96" s="1">
        <v>10</v>
      </c>
      <c r="AA96" s="1">
        <v>77</v>
      </c>
      <c r="AB96" s="1">
        <v>0</v>
      </c>
      <c r="AC96" s="1">
        <f>IF(AB96&gt;0,1,0)</f>
        <v>0</v>
      </c>
      <c r="AD96" s="1">
        <f>Z96+AA96-AB96</f>
        <v>87</v>
      </c>
      <c r="AE96" s="1">
        <f>AB96/AD96</f>
        <v>0</v>
      </c>
      <c r="AF96" s="1">
        <f>1-AE96</f>
        <v>1</v>
      </c>
    </row>
  </sheetData>
  <phoneticPr fontId="19" type="noConversion"/>
  <conditionalFormatting sqref="Y1:Y96">
    <cfRule type="duplicateValues" dxfId="21" priority="2"/>
    <cfRule type="duplicateValues" dxfId="20" priority="3"/>
  </conditionalFormatting>
  <conditionalFormatting sqref="Y2:Y96">
    <cfRule type="duplicateValues" dxfId="1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ECF9-06F4-4E31-B914-0B30D7294C70}">
  <dimension ref="A1:H96"/>
  <sheetViews>
    <sheetView workbookViewId="0">
      <selection activeCell="Y1" sqref="Y1:Y1048576"/>
    </sheetView>
  </sheetViews>
  <sheetFormatPr defaultRowHeight="14" x14ac:dyDescent="0.3"/>
  <cols>
    <col min="1" max="1" width="27.25" style="1" customWidth="1"/>
    <col min="2" max="2" width="12.5" style="1" bestFit="1" customWidth="1"/>
    <col min="3" max="3" width="14.25" style="1" bestFit="1" customWidth="1"/>
    <col min="4" max="4" width="8.75" style="1" bestFit="1" customWidth="1"/>
    <col min="5" max="5" width="9.83203125" style="1" bestFit="1" customWidth="1"/>
    <col min="6" max="6" width="6.75" style="1" bestFit="1" customWidth="1"/>
    <col min="7" max="7" width="8.6640625" style="1"/>
    <col min="8" max="8" width="17.5" style="1" bestFit="1" customWidth="1"/>
    <col min="9" max="16384" width="8.6640625" style="1"/>
  </cols>
  <sheetData>
    <row r="1" spans="1:8" x14ac:dyDescent="0.3">
      <c r="A1" s="5" t="s">
        <v>395</v>
      </c>
      <c r="B1" s="4" t="s">
        <v>394</v>
      </c>
      <c r="C1" s="4" t="s">
        <v>393</v>
      </c>
      <c r="D1" s="4" t="s">
        <v>392</v>
      </c>
      <c r="E1" s="4" t="s">
        <v>391</v>
      </c>
      <c r="F1" s="4" t="s">
        <v>390</v>
      </c>
      <c r="G1" s="4" t="s">
        <v>389</v>
      </c>
      <c r="H1" s="4" t="s">
        <v>388</v>
      </c>
    </row>
    <row r="2" spans="1:8" x14ac:dyDescent="0.3">
      <c r="A2" s="1" t="s">
        <v>312</v>
      </c>
      <c r="B2" s="1">
        <v>68</v>
      </c>
      <c r="C2" s="1">
        <v>154</v>
      </c>
      <c r="D2" s="1">
        <v>42</v>
      </c>
      <c r="E2" s="1">
        <f>IF(D2&gt;0,1,0)</f>
        <v>1</v>
      </c>
      <c r="F2" s="1">
        <f>B2+C2-D2</f>
        <v>180</v>
      </c>
      <c r="G2" s="1">
        <f>D2/F2</f>
        <v>0.23333333333333334</v>
      </c>
      <c r="H2" s="1">
        <f>1-G2</f>
        <v>0.76666666666666661</v>
      </c>
    </row>
    <row r="3" spans="1:8" x14ac:dyDescent="0.3">
      <c r="A3" s="1" t="s">
        <v>384</v>
      </c>
      <c r="B3" s="1">
        <v>52</v>
      </c>
      <c r="C3" s="1">
        <v>105</v>
      </c>
      <c r="D3" s="1">
        <v>27</v>
      </c>
      <c r="E3" s="1">
        <f>IF(D3&gt;0,1,0)</f>
        <v>1</v>
      </c>
      <c r="F3" s="1">
        <f>B3+C3-D3</f>
        <v>130</v>
      </c>
      <c r="G3" s="1">
        <f>D3/F3</f>
        <v>0.2076923076923077</v>
      </c>
      <c r="H3" s="1">
        <f>1-G3</f>
        <v>0.79230769230769227</v>
      </c>
    </row>
    <row r="4" spans="1:8" x14ac:dyDescent="0.3">
      <c r="A4" s="1" t="s">
        <v>378</v>
      </c>
      <c r="B4" s="1">
        <v>26</v>
      </c>
      <c r="C4" s="1">
        <v>26</v>
      </c>
      <c r="D4" s="1">
        <v>16</v>
      </c>
      <c r="E4" s="1">
        <f>IF(D4&gt;0,1,0)</f>
        <v>1</v>
      </c>
      <c r="F4" s="1">
        <f>B4+C4-D4</f>
        <v>36</v>
      </c>
      <c r="G4" s="1">
        <f>D4/F4</f>
        <v>0.44444444444444442</v>
      </c>
      <c r="H4" s="1">
        <f>1-G4</f>
        <v>0.55555555555555558</v>
      </c>
    </row>
    <row r="5" spans="1:8" x14ac:dyDescent="0.3">
      <c r="A5" s="1" t="s">
        <v>400</v>
      </c>
      <c r="B5" s="1">
        <v>18</v>
      </c>
      <c r="C5" s="1">
        <v>25</v>
      </c>
      <c r="D5" s="1">
        <v>9</v>
      </c>
      <c r="E5" s="1">
        <f>IF(D5&gt;0,1,0)</f>
        <v>1</v>
      </c>
      <c r="F5" s="1">
        <f>B5+C5-D5</f>
        <v>34</v>
      </c>
      <c r="G5" s="1">
        <f>D5/F5</f>
        <v>0.26470588235294118</v>
      </c>
      <c r="H5" s="1">
        <f>1-G5</f>
        <v>0.73529411764705888</v>
      </c>
    </row>
    <row r="6" spans="1:8" x14ac:dyDescent="0.3">
      <c r="A6" s="1" t="s">
        <v>308</v>
      </c>
      <c r="B6" s="1">
        <v>10</v>
      </c>
      <c r="C6" s="1">
        <v>17</v>
      </c>
      <c r="D6" s="1">
        <v>6</v>
      </c>
      <c r="E6" s="1">
        <f>IF(D6&gt;0,1,0)</f>
        <v>1</v>
      </c>
      <c r="F6" s="1">
        <f>B6+C6-D6</f>
        <v>21</v>
      </c>
      <c r="G6" s="1">
        <f>D6/F6</f>
        <v>0.2857142857142857</v>
      </c>
      <c r="H6" s="1">
        <f>1-G6</f>
        <v>0.7142857142857143</v>
      </c>
    </row>
    <row r="7" spans="1:8" x14ac:dyDescent="0.3">
      <c r="A7" s="1" t="s">
        <v>346</v>
      </c>
      <c r="B7" s="1">
        <v>9</v>
      </c>
      <c r="C7" s="1">
        <v>14</v>
      </c>
      <c r="D7" s="1">
        <v>5</v>
      </c>
      <c r="E7" s="1">
        <f>IF(D7&gt;0,1,0)</f>
        <v>1</v>
      </c>
      <c r="F7" s="1">
        <f>B7+C7-D7</f>
        <v>18</v>
      </c>
      <c r="G7" s="1">
        <f>D7/F7</f>
        <v>0.27777777777777779</v>
      </c>
      <c r="H7" s="1">
        <f>1-G7</f>
        <v>0.72222222222222221</v>
      </c>
    </row>
    <row r="8" spans="1:8" x14ac:dyDescent="0.3">
      <c r="A8" s="1" t="s">
        <v>334</v>
      </c>
      <c r="B8" s="1">
        <v>6</v>
      </c>
      <c r="C8" s="1">
        <v>6</v>
      </c>
      <c r="D8" s="1">
        <v>4</v>
      </c>
      <c r="E8" s="1">
        <f>IF(D8&gt;0,1,0)</f>
        <v>1</v>
      </c>
      <c r="F8" s="1">
        <f>B8+C8-D8</f>
        <v>8</v>
      </c>
      <c r="G8" s="1">
        <f>D8/F8</f>
        <v>0.5</v>
      </c>
      <c r="H8" s="1">
        <f>1-G8</f>
        <v>0.5</v>
      </c>
    </row>
    <row r="9" spans="1:8" x14ac:dyDescent="0.3">
      <c r="A9" s="1" t="s">
        <v>380</v>
      </c>
      <c r="B9" s="1">
        <v>5</v>
      </c>
      <c r="C9" s="1">
        <v>17</v>
      </c>
      <c r="D9" s="1">
        <v>4</v>
      </c>
      <c r="E9" s="1">
        <f>IF(D9&gt;0,1,0)</f>
        <v>1</v>
      </c>
      <c r="F9" s="1">
        <f>B9+C9-D9</f>
        <v>18</v>
      </c>
      <c r="G9" s="1">
        <f>D9/F9</f>
        <v>0.22222222222222221</v>
      </c>
      <c r="H9" s="1">
        <f>1-G9</f>
        <v>0.77777777777777779</v>
      </c>
    </row>
    <row r="10" spans="1:8" x14ac:dyDescent="0.3">
      <c r="A10" s="1" t="s">
        <v>333</v>
      </c>
      <c r="B10" s="1">
        <v>10</v>
      </c>
      <c r="C10" s="1">
        <v>5</v>
      </c>
      <c r="D10" s="1">
        <v>4</v>
      </c>
      <c r="E10" s="1">
        <f>IF(D10&gt;0,1,0)</f>
        <v>1</v>
      </c>
      <c r="F10" s="1">
        <f>B10+C10-D10</f>
        <v>11</v>
      </c>
      <c r="G10" s="1">
        <f>D10/F10</f>
        <v>0.36363636363636365</v>
      </c>
      <c r="H10" s="1">
        <f>1-G10</f>
        <v>0.63636363636363635</v>
      </c>
    </row>
    <row r="11" spans="1:8" x14ac:dyDescent="0.3">
      <c r="A11" s="1" t="s">
        <v>360</v>
      </c>
      <c r="B11" s="1">
        <v>8</v>
      </c>
      <c r="C11" s="1">
        <v>8</v>
      </c>
      <c r="D11" s="1">
        <v>3</v>
      </c>
      <c r="E11" s="1">
        <f>IF(D11&gt;0,1,0)</f>
        <v>1</v>
      </c>
      <c r="F11" s="1">
        <f>B11+C11-D11</f>
        <v>13</v>
      </c>
      <c r="G11" s="1">
        <f>D11/F11</f>
        <v>0.23076923076923078</v>
      </c>
      <c r="H11" s="1">
        <f>1-G11</f>
        <v>0.76923076923076916</v>
      </c>
    </row>
    <row r="12" spans="1:8" x14ac:dyDescent="0.3">
      <c r="A12" s="1" t="s">
        <v>379</v>
      </c>
      <c r="B12" s="1">
        <v>12</v>
      </c>
      <c r="C12" s="1">
        <v>7</v>
      </c>
      <c r="D12" s="1">
        <v>3</v>
      </c>
      <c r="E12" s="1">
        <f>IF(D12&gt;0,1,0)</f>
        <v>1</v>
      </c>
      <c r="F12" s="1">
        <f>B12+C12-D12</f>
        <v>16</v>
      </c>
      <c r="G12" s="1">
        <f>D12/F12</f>
        <v>0.1875</v>
      </c>
      <c r="H12" s="1">
        <f>1-G12</f>
        <v>0.8125</v>
      </c>
    </row>
    <row r="13" spans="1:8" x14ac:dyDescent="0.3">
      <c r="A13" s="1" t="s">
        <v>300</v>
      </c>
      <c r="B13" s="1">
        <v>3</v>
      </c>
      <c r="C13" s="1">
        <v>8</v>
      </c>
      <c r="D13" s="1">
        <v>2</v>
      </c>
      <c r="E13" s="1">
        <f>IF(D13&gt;0,1,0)</f>
        <v>1</v>
      </c>
      <c r="F13" s="1">
        <f>B13+C13-D13</f>
        <v>9</v>
      </c>
      <c r="G13" s="1">
        <f>D13/F13</f>
        <v>0.22222222222222221</v>
      </c>
      <c r="H13" s="1">
        <f>1-G13</f>
        <v>0.77777777777777779</v>
      </c>
    </row>
    <row r="14" spans="1:8" x14ac:dyDescent="0.3">
      <c r="A14" s="1" t="s">
        <v>369</v>
      </c>
      <c r="B14" s="1">
        <v>3</v>
      </c>
      <c r="C14" s="1">
        <v>5</v>
      </c>
      <c r="D14" s="1">
        <v>2</v>
      </c>
      <c r="E14" s="1">
        <f>IF(D14&gt;0,1,0)</f>
        <v>1</v>
      </c>
      <c r="F14" s="1">
        <f>B14+C14-D14</f>
        <v>6</v>
      </c>
      <c r="G14" s="1">
        <f>D14/F14</f>
        <v>0.33333333333333331</v>
      </c>
      <c r="H14" s="1">
        <f>1-G14</f>
        <v>0.66666666666666674</v>
      </c>
    </row>
    <row r="15" spans="1:8" x14ac:dyDescent="0.3">
      <c r="A15" s="1" t="s">
        <v>338</v>
      </c>
      <c r="B15" s="1">
        <v>1</v>
      </c>
      <c r="C15" s="1">
        <v>6</v>
      </c>
      <c r="D15" s="1">
        <v>1</v>
      </c>
      <c r="E15" s="1">
        <f>IF(D15&gt;0,1,0)</f>
        <v>1</v>
      </c>
      <c r="F15" s="1">
        <f>B15+C15-D15</f>
        <v>6</v>
      </c>
      <c r="G15" s="1">
        <f>D15/F15</f>
        <v>0.16666666666666666</v>
      </c>
      <c r="H15" s="1">
        <f>1-G15</f>
        <v>0.83333333333333337</v>
      </c>
    </row>
    <row r="16" spans="1:8" x14ac:dyDescent="0.3">
      <c r="A16" s="1" t="s">
        <v>368</v>
      </c>
      <c r="B16" s="1">
        <v>2</v>
      </c>
      <c r="C16" s="1">
        <v>3</v>
      </c>
      <c r="D16" s="1">
        <v>1</v>
      </c>
      <c r="E16" s="1">
        <f>IF(D16&gt;0,1,0)</f>
        <v>1</v>
      </c>
      <c r="F16" s="1">
        <f>B16+C16-D16</f>
        <v>4</v>
      </c>
      <c r="G16" s="1">
        <f>D16/F16</f>
        <v>0.25</v>
      </c>
      <c r="H16" s="1">
        <f>1-G16</f>
        <v>0.75</v>
      </c>
    </row>
    <row r="17" spans="1:8" x14ac:dyDescent="0.3">
      <c r="A17" s="1" t="s">
        <v>307</v>
      </c>
      <c r="B17" s="1">
        <v>3</v>
      </c>
      <c r="C17" s="1">
        <v>7</v>
      </c>
      <c r="D17" s="1">
        <v>1</v>
      </c>
      <c r="E17" s="1">
        <f>IF(D17&gt;0,1,0)</f>
        <v>1</v>
      </c>
      <c r="F17" s="1">
        <f>B17+C17-D17</f>
        <v>9</v>
      </c>
      <c r="G17" s="1">
        <f>D17/F17</f>
        <v>0.1111111111111111</v>
      </c>
      <c r="H17" s="1">
        <f>1-G17</f>
        <v>0.88888888888888884</v>
      </c>
    </row>
    <row r="18" spans="1:8" x14ac:dyDescent="0.3">
      <c r="A18" s="1" t="s">
        <v>363</v>
      </c>
      <c r="B18" s="1">
        <v>2</v>
      </c>
      <c r="C18" s="1">
        <v>1</v>
      </c>
      <c r="D18" s="1">
        <v>1</v>
      </c>
      <c r="E18" s="1">
        <f>IF(D18&gt;0,1,0)</f>
        <v>1</v>
      </c>
      <c r="F18" s="1">
        <f>B18+C18-D18</f>
        <v>2</v>
      </c>
      <c r="G18" s="1">
        <f>D18/F18</f>
        <v>0.5</v>
      </c>
      <c r="H18" s="1">
        <f>1-G18</f>
        <v>0.5</v>
      </c>
    </row>
    <row r="19" spans="1:8" x14ac:dyDescent="0.3">
      <c r="A19" s="1" t="s">
        <v>385</v>
      </c>
      <c r="B19" s="1">
        <v>20</v>
      </c>
      <c r="C19" s="1">
        <v>3</v>
      </c>
      <c r="D19" s="1">
        <v>1</v>
      </c>
      <c r="E19" s="1">
        <f>IF(D19&gt;0,1,0)</f>
        <v>1</v>
      </c>
      <c r="F19" s="1">
        <f>B19+C19-D19</f>
        <v>22</v>
      </c>
      <c r="G19" s="1">
        <f>D19/F19</f>
        <v>4.5454545454545456E-2</v>
      </c>
      <c r="H19" s="1">
        <f>1-G19</f>
        <v>0.95454545454545459</v>
      </c>
    </row>
    <row r="20" spans="1:8" x14ac:dyDescent="0.3">
      <c r="A20" s="1" t="s">
        <v>349</v>
      </c>
      <c r="B20" s="1">
        <v>2</v>
      </c>
      <c r="C20" s="1">
        <v>1</v>
      </c>
      <c r="D20" s="1">
        <v>1</v>
      </c>
      <c r="E20" s="1">
        <f>IF(D20&gt;0,1,0)</f>
        <v>1</v>
      </c>
      <c r="F20" s="1">
        <f>B20+C20-D20</f>
        <v>2</v>
      </c>
      <c r="G20" s="1">
        <f>D20/F20</f>
        <v>0.5</v>
      </c>
      <c r="H20" s="1">
        <f>1-G20</f>
        <v>0.5</v>
      </c>
    </row>
    <row r="21" spans="1:8" x14ac:dyDescent="0.3">
      <c r="A21" s="1" t="s">
        <v>296</v>
      </c>
      <c r="B21" s="1">
        <v>1</v>
      </c>
      <c r="C21" s="1">
        <v>2</v>
      </c>
      <c r="D21" s="1">
        <v>1</v>
      </c>
      <c r="E21" s="1">
        <f>IF(D21&gt;0,1,0)</f>
        <v>1</v>
      </c>
      <c r="F21" s="1">
        <f>B21+C21-D21</f>
        <v>2</v>
      </c>
      <c r="G21" s="1">
        <f>D21/F21</f>
        <v>0.5</v>
      </c>
      <c r="H21" s="1">
        <f>1-G21</f>
        <v>0.5</v>
      </c>
    </row>
    <row r="22" spans="1:8" x14ac:dyDescent="0.3">
      <c r="A22" s="1" t="s">
        <v>340</v>
      </c>
      <c r="B22" s="1">
        <v>5</v>
      </c>
      <c r="C22" s="1">
        <v>1</v>
      </c>
      <c r="D22" s="1">
        <v>1</v>
      </c>
      <c r="E22" s="1">
        <f>IF(D22&gt;0,1,0)</f>
        <v>1</v>
      </c>
      <c r="F22" s="1">
        <f>B22+C22-D22</f>
        <v>5</v>
      </c>
      <c r="G22" s="1">
        <f>D22/F22</f>
        <v>0.2</v>
      </c>
      <c r="H22" s="1">
        <f>1-G22</f>
        <v>0.8</v>
      </c>
    </row>
    <row r="23" spans="1:8" x14ac:dyDescent="0.3">
      <c r="A23" s="1" t="s">
        <v>399</v>
      </c>
      <c r="B23" s="1">
        <v>1</v>
      </c>
      <c r="C23" s="1">
        <v>1</v>
      </c>
      <c r="D23" s="1">
        <v>1</v>
      </c>
      <c r="E23" s="1">
        <f>IF(D23&gt;0,1,0)</f>
        <v>1</v>
      </c>
      <c r="F23" s="1">
        <f>B23+C23-D23</f>
        <v>1</v>
      </c>
      <c r="G23" s="1">
        <f>D23/F23</f>
        <v>1</v>
      </c>
      <c r="H23" s="1">
        <f>1-G23</f>
        <v>0</v>
      </c>
    </row>
    <row r="24" spans="1:8" x14ac:dyDescent="0.3">
      <c r="A24" s="1" t="s">
        <v>372</v>
      </c>
      <c r="B24" s="1">
        <v>3</v>
      </c>
      <c r="C24" s="1">
        <v>1</v>
      </c>
      <c r="D24" s="1">
        <v>1</v>
      </c>
      <c r="E24" s="1">
        <f>IF(D24&gt;0,1,0)</f>
        <v>1</v>
      </c>
      <c r="F24" s="1">
        <f>B24+C24-D24</f>
        <v>3</v>
      </c>
      <c r="G24" s="1">
        <f>D24/F24</f>
        <v>0.33333333333333331</v>
      </c>
      <c r="H24" s="1">
        <f>1-G24</f>
        <v>0.66666666666666674</v>
      </c>
    </row>
    <row r="25" spans="1:8" x14ac:dyDescent="0.3">
      <c r="A25" s="1" t="s">
        <v>323</v>
      </c>
      <c r="B25" s="1">
        <v>1</v>
      </c>
      <c r="C25" s="1">
        <v>1</v>
      </c>
      <c r="D25" s="1">
        <v>1</v>
      </c>
      <c r="E25" s="1">
        <f>IF(D25&gt;0,1,0)</f>
        <v>1</v>
      </c>
      <c r="F25" s="1">
        <f>B25+C25-D25</f>
        <v>1</v>
      </c>
      <c r="G25" s="1">
        <f>D25/F25</f>
        <v>1</v>
      </c>
      <c r="H25" s="1">
        <f>1-G25</f>
        <v>0</v>
      </c>
    </row>
    <row r="26" spans="1:8" x14ac:dyDescent="0.3">
      <c r="A26" s="1" t="s">
        <v>321</v>
      </c>
      <c r="B26" s="1">
        <v>1</v>
      </c>
      <c r="C26" s="1">
        <v>1</v>
      </c>
      <c r="D26" s="1">
        <v>1</v>
      </c>
      <c r="E26" s="1">
        <f>IF(D26&gt;0,1,0)</f>
        <v>1</v>
      </c>
      <c r="F26" s="1">
        <f>B26+C26-D26</f>
        <v>1</v>
      </c>
      <c r="G26" s="1">
        <f>D26/F26</f>
        <v>1</v>
      </c>
      <c r="H26" s="1">
        <f>1-G26</f>
        <v>0</v>
      </c>
    </row>
    <row r="27" spans="1:8" x14ac:dyDescent="0.3">
      <c r="A27" s="1" t="s">
        <v>337</v>
      </c>
      <c r="B27" s="1">
        <v>4</v>
      </c>
      <c r="C27" s="1">
        <v>9</v>
      </c>
      <c r="D27" s="1">
        <v>1</v>
      </c>
      <c r="E27" s="1">
        <f>IF(D27&gt;0,1,0)</f>
        <v>1</v>
      </c>
      <c r="F27" s="1">
        <f>B27+C27-D27</f>
        <v>12</v>
      </c>
      <c r="G27" s="1">
        <f>D27/F27</f>
        <v>8.3333333333333329E-2</v>
      </c>
      <c r="H27" s="1">
        <f>1-G27</f>
        <v>0.91666666666666663</v>
      </c>
    </row>
    <row r="28" spans="1:8" x14ac:dyDescent="0.3">
      <c r="A28" s="1" t="s">
        <v>365</v>
      </c>
      <c r="B28" s="1">
        <v>4</v>
      </c>
      <c r="C28" s="1">
        <v>2</v>
      </c>
      <c r="D28" s="1">
        <v>1</v>
      </c>
      <c r="E28" s="1">
        <f>IF(D28&gt;0,1,0)</f>
        <v>1</v>
      </c>
      <c r="F28" s="1">
        <f>B28+C28-D28</f>
        <v>5</v>
      </c>
      <c r="G28" s="1">
        <f>D28/F28</f>
        <v>0.2</v>
      </c>
      <c r="H28" s="1">
        <f>1-G28</f>
        <v>0.8</v>
      </c>
    </row>
    <row r="29" spans="1:8" x14ac:dyDescent="0.3">
      <c r="A29" s="1" t="s">
        <v>398</v>
      </c>
      <c r="B29" s="1">
        <v>21</v>
      </c>
      <c r="C29" s="1">
        <v>688</v>
      </c>
      <c r="D29" s="1">
        <v>1</v>
      </c>
      <c r="E29" s="1">
        <f>IF(D29&gt;0,1,0)</f>
        <v>1</v>
      </c>
      <c r="F29" s="1">
        <f>B29+C29-D29</f>
        <v>708</v>
      </c>
      <c r="G29" s="1">
        <f>D29/F29</f>
        <v>1.4124293785310734E-3</v>
      </c>
      <c r="H29" s="1">
        <f>1-G29</f>
        <v>0.99858757062146897</v>
      </c>
    </row>
    <row r="30" spans="1:8" x14ac:dyDescent="0.3">
      <c r="A30" s="1" t="s">
        <v>343</v>
      </c>
      <c r="B30" s="1">
        <v>1</v>
      </c>
      <c r="C30" s="1">
        <v>1</v>
      </c>
      <c r="D30" s="1">
        <v>1</v>
      </c>
      <c r="E30" s="1">
        <f>IF(D30&gt;0,1,0)</f>
        <v>1</v>
      </c>
      <c r="F30" s="1">
        <f>B30+C30-D30</f>
        <v>1</v>
      </c>
      <c r="G30" s="1">
        <f>D30/F30</f>
        <v>1</v>
      </c>
      <c r="H30" s="1">
        <f>1-G30</f>
        <v>0</v>
      </c>
    </row>
    <row r="31" spans="1:8" x14ac:dyDescent="0.3">
      <c r="A31" s="1" t="s">
        <v>397</v>
      </c>
      <c r="B31" s="1">
        <v>5</v>
      </c>
      <c r="C31" s="1">
        <v>3</v>
      </c>
      <c r="D31" s="1">
        <v>1</v>
      </c>
      <c r="E31" s="1">
        <f>IF(D31&gt;0,1,0)</f>
        <v>1</v>
      </c>
      <c r="F31" s="1">
        <f>B31+C31-D31</f>
        <v>7</v>
      </c>
      <c r="G31" s="1">
        <f>D31/F31</f>
        <v>0.14285714285714285</v>
      </c>
      <c r="H31" s="1">
        <f>1-G31</f>
        <v>0.85714285714285721</v>
      </c>
    </row>
    <row r="32" spans="1:8" x14ac:dyDescent="0.3">
      <c r="A32" s="1" t="s">
        <v>351</v>
      </c>
      <c r="B32" s="1">
        <v>1</v>
      </c>
      <c r="C32" s="1">
        <v>3</v>
      </c>
      <c r="D32" s="1">
        <v>1</v>
      </c>
      <c r="E32" s="1">
        <f>IF(D32&gt;0,1,0)</f>
        <v>1</v>
      </c>
      <c r="F32" s="1">
        <f>B32+C32-D32</f>
        <v>3</v>
      </c>
      <c r="G32" s="1">
        <f>D32/F32</f>
        <v>0.33333333333333331</v>
      </c>
      <c r="H32" s="1">
        <f>1-G32</f>
        <v>0.66666666666666674</v>
      </c>
    </row>
    <row r="33" spans="1:8" x14ac:dyDescent="0.3">
      <c r="A33" s="1" t="s">
        <v>319</v>
      </c>
      <c r="B33" s="1">
        <v>1</v>
      </c>
      <c r="C33" s="1">
        <v>1</v>
      </c>
      <c r="D33" s="1">
        <v>1</v>
      </c>
      <c r="E33" s="1">
        <f>IF(D33&gt;0,1,0)</f>
        <v>1</v>
      </c>
      <c r="F33" s="1">
        <f>B33+C33-D33</f>
        <v>1</v>
      </c>
      <c r="G33" s="1">
        <f>D33/F33</f>
        <v>1</v>
      </c>
      <c r="H33" s="1">
        <f>1-G33</f>
        <v>0</v>
      </c>
    </row>
    <row r="34" spans="1:8" x14ac:dyDescent="0.3">
      <c r="A34" s="1" t="s">
        <v>318</v>
      </c>
      <c r="B34" s="1">
        <v>1</v>
      </c>
      <c r="C34" s="1">
        <v>1</v>
      </c>
      <c r="D34" s="1">
        <v>1</v>
      </c>
      <c r="E34" s="1">
        <f>IF(D34&gt;0,1,0)</f>
        <v>1</v>
      </c>
      <c r="F34" s="1">
        <f>B34+C34-D34</f>
        <v>1</v>
      </c>
      <c r="G34" s="1">
        <f>D34/F34</f>
        <v>1</v>
      </c>
      <c r="H34" s="1">
        <f>1-G34</f>
        <v>0</v>
      </c>
    </row>
    <row r="35" spans="1:8" x14ac:dyDescent="0.3">
      <c r="A35" s="1" t="s">
        <v>304</v>
      </c>
      <c r="B35" s="1">
        <v>8</v>
      </c>
      <c r="C35" s="1">
        <v>4</v>
      </c>
      <c r="D35" s="1">
        <v>1</v>
      </c>
      <c r="E35" s="1">
        <f>IF(D35&gt;0,1,0)</f>
        <v>1</v>
      </c>
      <c r="F35" s="1">
        <f>B35+C35-D35</f>
        <v>11</v>
      </c>
      <c r="G35" s="1">
        <f>D35/F35</f>
        <v>9.0909090909090912E-2</v>
      </c>
      <c r="H35" s="1">
        <f>1-G35</f>
        <v>0.90909090909090906</v>
      </c>
    </row>
    <row r="36" spans="1:8" x14ac:dyDescent="0.3">
      <c r="A36" s="1" t="s">
        <v>325</v>
      </c>
      <c r="B36" s="1">
        <v>1</v>
      </c>
      <c r="C36" s="1">
        <v>4</v>
      </c>
      <c r="D36" s="1">
        <v>1</v>
      </c>
      <c r="E36" s="1">
        <f>IF(D36&gt;0,1,0)</f>
        <v>1</v>
      </c>
      <c r="F36" s="1">
        <f>B36+C36-D36</f>
        <v>4</v>
      </c>
      <c r="G36" s="1">
        <f>D36/F36</f>
        <v>0.25</v>
      </c>
      <c r="H36" s="1">
        <f>1-G36</f>
        <v>0.75</v>
      </c>
    </row>
    <row r="37" spans="1:8" x14ac:dyDescent="0.3">
      <c r="A37" s="1" t="s">
        <v>350</v>
      </c>
      <c r="B37" s="1">
        <v>1</v>
      </c>
      <c r="C37" s="1">
        <v>1</v>
      </c>
      <c r="D37" s="1">
        <v>1</v>
      </c>
      <c r="E37" s="1">
        <f>IF(D37&gt;0,1,0)</f>
        <v>1</v>
      </c>
      <c r="F37" s="1">
        <f>B37+C37-D37</f>
        <v>1</v>
      </c>
      <c r="G37" s="1">
        <f>D37/F37</f>
        <v>1</v>
      </c>
      <c r="H37" s="1">
        <f>1-G37</f>
        <v>0</v>
      </c>
    </row>
    <row r="38" spans="1:8" x14ac:dyDescent="0.3">
      <c r="A38" s="1" t="s">
        <v>345</v>
      </c>
      <c r="B38" s="1">
        <v>3</v>
      </c>
      <c r="C38" s="1">
        <v>3</v>
      </c>
      <c r="D38" s="1">
        <v>1</v>
      </c>
      <c r="E38" s="1">
        <f>IF(D38&gt;0,1,0)</f>
        <v>1</v>
      </c>
      <c r="F38" s="1">
        <f>B38+C38-D38</f>
        <v>5</v>
      </c>
      <c r="G38" s="1">
        <f>D38/F38</f>
        <v>0.2</v>
      </c>
      <c r="H38" s="1">
        <f>1-G38</f>
        <v>0.8</v>
      </c>
    </row>
    <row r="39" spans="1:8" x14ac:dyDescent="0.3">
      <c r="A39" s="1" t="s">
        <v>366</v>
      </c>
      <c r="B39" s="1">
        <v>15</v>
      </c>
      <c r="C39" s="1">
        <v>16</v>
      </c>
      <c r="D39" s="1">
        <v>1</v>
      </c>
      <c r="E39" s="1">
        <f>IF(D39&gt;0,1,0)</f>
        <v>1</v>
      </c>
      <c r="F39" s="1">
        <f>B39+C39-D39</f>
        <v>30</v>
      </c>
      <c r="G39" s="1">
        <f>D39/F39</f>
        <v>3.3333333333333333E-2</v>
      </c>
      <c r="H39" s="1">
        <f>1-G39</f>
        <v>0.96666666666666667</v>
      </c>
    </row>
    <row r="40" spans="1:8" x14ac:dyDescent="0.3">
      <c r="A40" s="7" t="s">
        <v>298</v>
      </c>
      <c r="B40" s="1">
        <v>3</v>
      </c>
      <c r="C40" s="1">
        <v>5</v>
      </c>
      <c r="D40" s="1">
        <v>0</v>
      </c>
      <c r="E40" s="1">
        <f>IF(D40&gt;0,1,0)</f>
        <v>0</v>
      </c>
      <c r="F40" s="1">
        <f>B40+C40-D40</f>
        <v>8</v>
      </c>
      <c r="G40" s="1">
        <f>D40/F40</f>
        <v>0</v>
      </c>
      <c r="H40" s="1">
        <f>1-G40</f>
        <v>1</v>
      </c>
    </row>
    <row r="41" spans="1:8" x14ac:dyDescent="0.3">
      <c r="A41" s="1" t="s">
        <v>302</v>
      </c>
      <c r="B41" s="1">
        <v>3</v>
      </c>
      <c r="C41" s="1">
        <v>0</v>
      </c>
      <c r="D41" s="1">
        <v>0</v>
      </c>
      <c r="E41" s="1">
        <f>IF(D41&gt;0,1,0)</f>
        <v>0</v>
      </c>
      <c r="F41" s="1">
        <f>B41+C41-D41</f>
        <v>3</v>
      </c>
      <c r="G41" s="1">
        <f>D41/F41</f>
        <v>0</v>
      </c>
      <c r="H41" s="1">
        <f>1-G41</f>
        <v>1</v>
      </c>
    </row>
    <row r="42" spans="1:8" x14ac:dyDescent="0.3">
      <c r="A42" s="1" t="s">
        <v>396</v>
      </c>
      <c r="B42" s="1">
        <v>0</v>
      </c>
      <c r="C42" s="1">
        <v>3</v>
      </c>
      <c r="D42" s="1">
        <v>0</v>
      </c>
      <c r="E42" s="1">
        <f>IF(D42&gt;0,1,0)</f>
        <v>0</v>
      </c>
      <c r="F42" s="1">
        <f>B42+C42-D42</f>
        <v>3</v>
      </c>
      <c r="G42" s="1">
        <f>D42/F42</f>
        <v>0</v>
      </c>
      <c r="H42" s="1">
        <f>1-G42</f>
        <v>1</v>
      </c>
    </row>
    <row r="43" spans="1:8" x14ac:dyDescent="0.3">
      <c r="A43" s="1" t="s">
        <v>297</v>
      </c>
      <c r="B43" s="1">
        <v>2</v>
      </c>
      <c r="C43" s="1">
        <v>0</v>
      </c>
      <c r="D43" s="1">
        <v>0</v>
      </c>
      <c r="E43" s="1">
        <f>IF(D43&gt;0,1,0)</f>
        <v>0</v>
      </c>
      <c r="F43" s="1">
        <f>B43+C43-D43</f>
        <v>2</v>
      </c>
      <c r="G43" s="1">
        <f>D43/F43</f>
        <v>0</v>
      </c>
      <c r="H43" s="1">
        <f>1-G43</f>
        <v>1</v>
      </c>
    </row>
    <row r="44" spans="1:8" x14ac:dyDescent="0.3">
      <c r="A44" s="1" t="s">
        <v>359</v>
      </c>
      <c r="B44" s="1">
        <v>16</v>
      </c>
      <c r="C44" s="1">
        <v>14</v>
      </c>
      <c r="D44" s="1">
        <v>0</v>
      </c>
      <c r="E44" s="1">
        <f>IF(D44&gt;0,1,0)</f>
        <v>0</v>
      </c>
      <c r="F44" s="1">
        <f>B44+C44-D44</f>
        <v>30</v>
      </c>
      <c r="G44" s="1">
        <f>D44/F44</f>
        <v>0</v>
      </c>
      <c r="H44" s="1">
        <f>1-G44</f>
        <v>1</v>
      </c>
    </row>
    <row r="45" spans="1:8" x14ac:dyDescent="0.3">
      <c r="A45" s="1" t="s">
        <v>347</v>
      </c>
      <c r="B45" s="1">
        <v>3</v>
      </c>
      <c r="C45" s="1">
        <v>0</v>
      </c>
      <c r="D45" s="1">
        <v>0</v>
      </c>
      <c r="E45" s="1">
        <f>IF(D45&gt;0,1,0)</f>
        <v>0</v>
      </c>
      <c r="F45" s="1">
        <f>B45+C45-D45</f>
        <v>3</v>
      </c>
      <c r="G45" s="1">
        <f>D45/F45</f>
        <v>0</v>
      </c>
      <c r="H45" s="1">
        <f>1-G45</f>
        <v>1</v>
      </c>
    </row>
    <row r="46" spans="1:8" x14ac:dyDescent="0.3">
      <c r="A46" s="1" t="s">
        <v>314</v>
      </c>
      <c r="B46" s="1">
        <v>0</v>
      </c>
      <c r="C46" s="1">
        <v>3</v>
      </c>
      <c r="D46" s="1">
        <v>0</v>
      </c>
      <c r="E46" s="1">
        <f>IF(D46&gt;0,1,0)</f>
        <v>0</v>
      </c>
      <c r="F46" s="1">
        <f>B46+C46-D46</f>
        <v>3</v>
      </c>
      <c r="G46" s="1">
        <f>D46/F46</f>
        <v>0</v>
      </c>
      <c r="H46" s="1">
        <f>1-G46</f>
        <v>1</v>
      </c>
    </row>
    <row r="47" spans="1:8" x14ac:dyDescent="0.3">
      <c r="A47" s="1" t="s">
        <v>381</v>
      </c>
      <c r="B47" s="1">
        <v>5</v>
      </c>
      <c r="C47" s="1">
        <v>4</v>
      </c>
      <c r="D47" s="1">
        <v>0</v>
      </c>
      <c r="E47" s="1">
        <f>IF(D47&gt;0,1,0)</f>
        <v>0</v>
      </c>
      <c r="F47" s="1">
        <f>B47+C47-D47</f>
        <v>9</v>
      </c>
      <c r="G47" s="1">
        <f>D47/F47</f>
        <v>0</v>
      </c>
      <c r="H47" s="1">
        <f>1-G47</f>
        <v>1</v>
      </c>
    </row>
    <row r="48" spans="1:8" x14ac:dyDescent="0.3">
      <c r="A48" s="1" t="s">
        <v>383</v>
      </c>
      <c r="B48" s="1">
        <v>10</v>
      </c>
      <c r="C48" s="1">
        <v>6</v>
      </c>
      <c r="D48" s="1">
        <v>0</v>
      </c>
      <c r="E48" s="1">
        <f>IF(D48&gt;0,1,0)</f>
        <v>0</v>
      </c>
      <c r="F48" s="1">
        <f>B48+C48-D48</f>
        <v>16</v>
      </c>
      <c r="G48" s="1">
        <f>D48/F48</f>
        <v>0</v>
      </c>
      <c r="H48" s="1">
        <f>1-G48</f>
        <v>1</v>
      </c>
    </row>
    <row r="49" spans="1:8" x14ac:dyDescent="0.3">
      <c r="A49" s="1" t="s">
        <v>301</v>
      </c>
      <c r="B49" s="1">
        <v>1</v>
      </c>
      <c r="C49" s="1">
        <v>0</v>
      </c>
      <c r="D49" s="1">
        <v>0</v>
      </c>
      <c r="E49" s="1">
        <f>IF(D49&gt;0,1,0)</f>
        <v>0</v>
      </c>
      <c r="F49" s="1">
        <f>B49+C49-D49</f>
        <v>1</v>
      </c>
      <c r="G49" s="1">
        <f>D49/F49</f>
        <v>0</v>
      </c>
      <c r="H49" s="1">
        <f>1-G49</f>
        <v>1</v>
      </c>
    </row>
    <row r="50" spans="1:8" x14ac:dyDescent="0.3">
      <c r="A50" s="1" t="s">
        <v>316</v>
      </c>
      <c r="B50" s="1">
        <v>1</v>
      </c>
      <c r="C50" s="1">
        <v>6</v>
      </c>
      <c r="D50" s="1">
        <v>0</v>
      </c>
      <c r="E50" s="1">
        <f>IF(D50&gt;0,1,0)</f>
        <v>0</v>
      </c>
      <c r="F50" s="1">
        <f>B50+C50-D50</f>
        <v>7</v>
      </c>
      <c r="G50" s="1">
        <f>D50/F50</f>
        <v>0</v>
      </c>
      <c r="H50" s="1">
        <f>1-G50</f>
        <v>1</v>
      </c>
    </row>
    <row r="51" spans="1:8" x14ac:dyDescent="0.3">
      <c r="A51" s="1" t="s">
        <v>329</v>
      </c>
      <c r="B51" s="1">
        <v>2</v>
      </c>
      <c r="C51" s="1">
        <v>0</v>
      </c>
      <c r="D51" s="1">
        <v>0</v>
      </c>
      <c r="E51" s="1">
        <f>IF(D51&gt;0,1,0)</f>
        <v>0</v>
      </c>
      <c r="F51" s="1">
        <f>B51+C51-D51</f>
        <v>2</v>
      </c>
      <c r="G51" s="1">
        <f>D51/F51</f>
        <v>0</v>
      </c>
      <c r="H51" s="1">
        <f>1-G51</f>
        <v>1</v>
      </c>
    </row>
    <row r="52" spans="1:8" x14ac:dyDescent="0.3">
      <c r="A52" s="1" t="s">
        <v>367</v>
      </c>
      <c r="B52" s="1">
        <v>2</v>
      </c>
      <c r="C52" s="1">
        <v>6</v>
      </c>
      <c r="D52" s="1">
        <v>0</v>
      </c>
      <c r="E52" s="1">
        <f>IF(D52&gt;0,1,0)</f>
        <v>0</v>
      </c>
      <c r="F52" s="1">
        <f>B52+C52-D52</f>
        <v>8</v>
      </c>
      <c r="G52" s="1">
        <f>D52/F52</f>
        <v>0</v>
      </c>
      <c r="H52" s="1">
        <f>1-G52</f>
        <v>1</v>
      </c>
    </row>
    <row r="53" spans="1:8" x14ac:dyDescent="0.3">
      <c r="A53" s="1" t="s">
        <v>357</v>
      </c>
      <c r="B53" s="1">
        <v>2</v>
      </c>
      <c r="C53" s="1">
        <v>0</v>
      </c>
      <c r="D53" s="1">
        <v>0</v>
      </c>
      <c r="E53" s="1">
        <f>IF(D53&gt;0,1,0)</f>
        <v>0</v>
      </c>
      <c r="F53" s="1">
        <f>B53+C53-D53</f>
        <v>2</v>
      </c>
      <c r="G53" s="1">
        <f>D53/F53</f>
        <v>0</v>
      </c>
      <c r="H53" s="1">
        <f>1-G53</f>
        <v>1</v>
      </c>
    </row>
    <row r="54" spans="1:8" x14ac:dyDescent="0.3">
      <c r="A54" s="1" t="s">
        <v>362</v>
      </c>
      <c r="B54" s="1">
        <v>2</v>
      </c>
      <c r="C54" s="1">
        <v>0</v>
      </c>
      <c r="D54" s="1">
        <v>0</v>
      </c>
      <c r="E54" s="1">
        <f>IF(D54&gt;0,1,0)</f>
        <v>0</v>
      </c>
      <c r="F54" s="1">
        <f>B54+C54-D54</f>
        <v>2</v>
      </c>
      <c r="G54" s="1">
        <f>D54/F54</f>
        <v>0</v>
      </c>
      <c r="H54" s="1">
        <f>1-G54</f>
        <v>1</v>
      </c>
    </row>
    <row r="55" spans="1:8" x14ac:dyDescent="0.3">
      <c r="A55" s="1" t="s">
        <v>344</v>
      </c>
      <c r="B55" s="1">
        <v>2</v>
      </c>
      <c r="C55" s="1">
        <v>0</v>
      </c>
      <c r="D55" s="1">
        <v>0</v>
      </c>
      <c r="E55" s="1">
        <f>IF(D55&gt;0,1,0)</f>
        <v>0</v>
      </c>
      <c r="F55" s="1">
        <f>B55+C55-D55</f>
        <v>2</v>
      </c>
      <c r="G55" s="1">
        <f>D55/F55</f>
        <v>0</v>
      </c>
      <c r="H55" s="1">
        <f>1-G55</f>
        <v>1</v>
      </c>
    </row>
    <row r="56" spans="1:8" x14ac:dyDescent="0.3">
      <c r="A56" s="1" t="s">
        <v>355</v>
      </c>
      <c r="B56" s="1">
        <v>1</v>
      </c>
      <c r="C56" s="1">
        <v>5</v>
      </c>
      <c r="D56" s="1">
        <v>0</v>
      </c>
      <c r="E56" s="1">
        <f>IF(D56&gt;0,1,0)</f>
        <v>0</v>
      </c>
      <c r="F56" s="1">
        <f>B56+C56-D56</f>
        <v>6</v>
      </c>
      <c r="G56" s="1">
        <f>D56/F56</f>
        <v>0</v>
      </c>
      <c r="H56" s="1">
        <f>1-G56</f>
        <v>1</v>
      </c>
    </row>
    <row r="57" spans="1:8" x14ac:dyDescent="0.3">
      <c r="A57" s="1" t="s">
        <v>377</v>
      </c>
      <c r="B57" s="1">
        <v>11</v>
      </c>
      <c r="C57" s="1">
        <v>3</v>
      </c>
      <c r="D57" s="1">
        <v>0</v>
      </c>
      <c r="E57" s="1">
        <f>IF(D57&gt;0,1,0)</f>
        <v>0</v>
      </c>
      <c r="F57" s="1">
        <f>B57+C57-D57</f>
        <v>14</v>
      </c>
      <c r="G57" s="1">
        <f>D57/F57</f>
        <v>0</v>
      </c>
      <c r="H57" s="1">
        <f>1-G57</f>
        <v>1</v>
      </c>
    </row>
    <row r="58" spans="1:8" x14ac:dyDescent="0.3">
      <c r="A58" s="1" t="s">
        <v>310</v>
      </c>
      <c r="B58" s="1">
        <v>1</v>
      </c>
      <c r="C58" s="1">
        <v>0</v>
      </c>
      <c r="D58" s="1">
        <v>0</v>
      </c>
      <c r="E58" s="1">
        <f>IF(D58&gt;0,1,0)</f>
        <v>0</v>
      </c>
      <c r="F58" s="1">
        <f>B58+C58-D58</f>
        <v>1</v>
      </c>
      <c r="G58" s="1">
        <f>D58/F58</f>
        <v>0</v>
      </c>
      <c r="H58" s="1">
        <f>1-G58</f>
        <v>1</v>
      </c>
    </row>
    <row r="59" spans="1:8" x14ac:dyDescent="0.3">
      <c r="A59" s="1" t="s">
        <v>342</v>
      </c>
      <c r="B59" s="1">
        <v>4</v>
      </c>
      <c r="C59" s="1">
        <v>4</v>
      </c>
      <c r="D59" s="1">
        <v>0</v>
      </c>
      <c r="E59" s="1">
        <f>IF(D59&gt;0,1,0)</f>
        <v>0</v>
      </c>
      <c r="F59" s="1">
        <f>B59+C59-D59</f>
        <v>8</v>
      </c>
      <c r="G59" s="1">
        <f>D59/F59</f>
        <v>0</v>
      </c>
      <c r="H59" s="1">
        <f>1-G59</f>
        <v>1</v>
      </c>
    </row>
    <row r="60" spans="1:8" x14ac:dyDescent="0.3">
      <c r="A60" s="1" t="s">
        <v>327</v>
      </c>
      <c r="B60" s="1">
        <v>27</v>
      </c>
      <c r="C60" s="1">
        <v>19</v>
      </c>
      <c r="D60" s="1">
        <v>0</v>
      </c>
      <c r="E60" s="1">
        <f>IF(D60&gt;0,1,0)</f>
        <v>0</v>
      </c>
      <c r="F60" s="1">
        <f>B60+C60-D60</f>
        <v>46</v>
      </c>
      <c r="G60" s="1">
        <f>D60/F60</f>
        <v>0</v>
      </c>
      <c r="H60" s="1">
        <f>1-G60</f>
        <v>1</v>
      </c>
    </row>
    <row r="61" spans="1:8" x14ac:dyDescent="0.3">
      <c r="A61" s="1" t="s">
        <v>374</v>
      </c>
      <c r="B61" s="1">
        <v>6</v>
      </c>
      <c r="C61" s="1">
        <v>38</v>
      </c>
      <c r="D61" s="1">
        <v>0</v>
      </c>
      <c r="E61" s="1">
        <f>IF(D61&gt;0,1,0)</f>
        <v>0</v>
      </c>
      <c r="F61" s="1">
        <f>B61+C61-D61</f>
        <v>44</v>
      </c>
      <c r="G61" s="1">
        <f>D61/F61</f>
        <v>0</v>
      </c>
      <c r="H61" s="1">
        <f>1-G61</f>
        <v>1</v>
      </c>
    </row>
    <row r="62" spans="1:8" x14ac:dyDescent="0.3">
      <c r="A62" s="1" t="s">
        <v>315</v>
      </c>
      <c r="B62" s="1">
        <v>3</v>
      </c>
      <c r="C62" s="1">
        <v>6</v>
      </c>
      <c r="D62" s="1">
        <v>0</v>
      </c>
      <c r="E62" s="1">
        <f>IF(D62&gt;0,1,0)</f>
        <v>0</v>
      </c>
      <c r="F62" s="1">
        <f>B62+C62-D62</f>
        <v>9</v>
      </c>
      <c r="G62" s="1">
        <f>D62/F62</f>
        <v>0</v>
      </c>
      <c r="H62" s="1">
        <f>1-G62</f>
        <v>1</v>
      </c>
    </row>
    <row r="63" spans="1:8" x14ac:dyDescent="0.3">
      <c r="A63" s="1" t="s">
        <v>294</v>
      </c>
      <c r="B63" s="1">
        <v>2</v>
      </c>
      <c r="C63" s="1">
        <v>4</v>
      </c>
      <c r="D63" s="1">
        <v>0</v>
      </c>
      <c r="E63" s="1">
        <f>IF(D63&gt;0,1,0)</f>
        <v>0</v>
      </c>
      <c r="F63" s="1">
        <f>B63+C63-D63</f>
        <v>6</v>
      </c>
      <c r="G63" s="1">
        <f>D63/F63</f>
        <v>0</v>
      </c>
      <c r="H63" s="1">
        <f>1-G63</f>
        <v>1</v>
      </c>
    </row>
    <row r="64" spans="1:8" x14ac:dyDescent="0.3">
      <c r="A64" s="1" t="s">
        <v>317</v>
      </c>
      <c r="B64" s="1">
        <v>1</v>
      </c>
      <c r="C64" s="1">
        <v>28</v>
      </c>
      <c r="D64" s="1">
        <v>0</v>
      </c>
      <c r="E64" s="1">
        <f>IF(D64&gt;0,1,0)</f>
        <v>0</v>
      </c>
      <c r="F64" s="1">
        <f>B64+C64-D64</f>
        <v>29</v>
      </c>
      <c r="G64" s="1">
        <f>D64/F64</f>
        <v>0</v>
      </c>
      <c r="H64" s="1">
        <f>1-G64</f>
        <v>1</v>
      </c>
    </row>
    <row r="65" spans="1:8" x14ac:dyDescent="0.3">
      <c r="A65" s="1" t="s">
        <v>326</v>
      </c>
      <c r="B65" s="1">
        <v>1</v>
      </c>
      <c r="C65" s="1">
        <v>0</v>
      </c>
      <c r="D65" s="1">
        <v>0</v>
      </c>
      <c r="E65" s="1">
        <f>IF(D65&gt;0,1,0)</f>
        <v>0</v>
      </c>
      <c r="F65" s="1">
        <f>B65+C65-D65</f>
        <v>1</v>
      </c>
      <c r="G65" s="1">
        <f>D65/F65</f>
        <v>0</v>
      </c>
      <c r="H65" s="1">
        <f>1-G65</f>
        <v>1</v>
      </c>
    </row>
    <row r="66" spans="1:8" x14ac:dyDescent="0.3">
      <c r="A66" s="1" t="s">
        <v>376</v>
      </c>
      <c r="B66" s="1">
        <v>7</v>
      </c>
      <c r="C66" s="1">
        <v>4</v>
      </c>
      <c r="D66" s="1">
        <v>0</v>
      </c>
      <c r="E66" s="1">
        <f>IF(D66&gt;0,1,0)</f>
        <v>0</v>
      </c>
      <c r="F66" s="1">
        <f>B66+C66-D66</f>
        <v>11</v>
      </c>
      <c r="G66" s="1">
        <f>D66/F66</f>
        <v>0</v>
      </c>
      <c r="H66" s="1">
        <f>1-G66</f>
        <v>1</v>
      </c>
    </row>
    <row r="67" spans="1:8" x14ac:dyDescent="0.3">
      <c r="A67" s="1" t="s">
        <v>322</v>
      </c>
      <c r="B67" s="1">
        <v>11</v>
      </c>
      <c r="C67" s="1">
        <v>0</v>
      </c>
      <c r="D67" s="1">
        <v>0</v>
      </c>
      <c r="E67" s="1">
        <f>IF(D67&gt;0,1,0)</f>
        <v>0</v>
      </c>
      <c r="F67" s="1">
        <f>B67+C67-D67</f>
        <v>11</v>
      </c>
      <c r="G67" s="1">
        <f>D67/F67</f>
        <v>0</v>
      </c>
      <c r="H67" s="1">
        <f>1-G67</f>
        <v>1</v>
      </c>
    </row>
    <row r="68" spans="1:8" x14ac:dyDescent="0.3">
      <c r="A68" s="1" t="s">
        <v>361</v>
      </c>
      <c r="B68" s="1">
        <v>6</v>
      </c>
      <c r="C68" s="1">
        <v>3</v>
      </c>
      <c r="D68" s="1">
        <v>0</v>
      </c>
      <c r="E68" s="1">
        <f>IF(D68&gt;0,1,0)</f>
        <v>0</v>
      </c>
      <c r="F68" s="1">
        <f>B68+C68-D68</f>
        <v>9</v>
      </c>
      <c r="G68" s="1">
        <f>D68/F68</f>
        <v>0</v>
      </c>
      <c r="H68" s="1">
        <f>1-G68</f>
        <v>1</v>
      </c>
    </row>
    <row r="69" spans="1:8" x14ac:dyDescent="0.3">
      <c r="A69" s="1" t="s">
        <v>382</v>
      </c>
      <c r="B69" s="1">
        <v>6</v>
      </c>
      <c r="C69" s="1">
        <v>4</v>
      </c>
      <c r="D69" s="1">
        <v>0</v>
      </c>
      <c r="E69" s="1">
        <f>IF(D69&gt;0,1,0)</f>
        <v>0</v>
      </c>
      <c r="F69" s="1">
        <f>B69+C69-D69</f>
        <v>10</v>
      </c>
      <c r="G69" s="1">
        <f>D69/F69</f>
        <v>0</v>
      </c>
      <c r="H69" s="1">
        <f>1-G69</f>
        <v>1</v>
      </c>
    </row>
    <row r="70" spans="1:8" x14ac:dyDescent="0.3">
      <c r="A70" s="1" t="s">
        <v>306</v>
      </c>
      <c r="B70" s="1">
        <v>9</v>
      </c>
      <c r="C70" s="1">
        <v>3</v>
      </c>
      <c r="D70" s="1">
        <v>0</v>
      </c>
      <c r="E70" s="1">
        <f>IF(D70&gt;0,1,0)</f>
        <v>0</v>
      </c>
      <c r="F70" s="1">
        <f>B70+C70-D70</f>
        <v>12</v>
      </c>
      <c r="G70" s="1">
        <f>D70/F70</f>
        <v>0</v>
      </c>
      <c r="H70" s="1">
        <f>1-G70</f>
        <v>1</v>
      </c>
    </row>
    <row r="71" spans="1:8" x14ac:dyDescent="0.3">
      <c r="A71" s="1" t="s">
        <v>358</v>
      </c>
      <c r="B71" s="1">
        <v>1</v>
      </c>
      <c r="C71" s="1">
        <v>0</v>
      </c>
      <c r="D71" s="1">
        <v>0</v>
      </c>
      <c r="E71" s="1">
        <f>IF(D71&gt;0,1,0)</f>
        <v>0</v>
      </c>
      <c r="F71" s="1">
        <f>B71+C71-D71</f>
        <v>1</v>
      </c>
      <c r="G71" s="1">
        <f>D71/F71</f>
        <v>0</v>
      </c>
      <c r="H71" s="1">
        <f>1-G71</f>
        <v>1</v>
      </c>
    </row>
    <row r="72" spans="1:8" x14ac:dyDescent="0.3">
      <c r="A72" s="1" t="s">
        <v>371</v>
      </c>
      <c r="B72" s="1">
        <v>3</v>
      </c>
      <c r="C72" s="1">
        <v>1</v>
      </c>
      <c r="D72" s="1">
        <v>0</v>
      </c>
      <c r="E72" s="1">
        <f>IF(D72&gt;0,1,0)</f>
        <v>0</v>
      </c>
      <c r="F72" s="1">
        <f>B72+C72-D72</f>
        <v>4</v>
      </c>
      <c r="G72" s="1">
        <f>D72/F72</f>
        <v>0</v>
      </c>
      <c r="H72" s="1">
        <f>1-G72</f>
        <v>1</v>
      </c>
    </row>
    <row r="73" spans="1:8" x14ac:dyDescent="0.3">
      <c r="A73" s="1" t="s">
        <v>324</v>
      </c>
      <c r="B73" s="1">
        <v>3</v>
      </c>
      <c r="C73" s="1">
        <v>1</v>
      </c>
      <c r="D73" s="1">
        <v>0</v>
      </c>
      <c r="E73" s="1">
        <f>IF(D73&gt;0,1,0)</f>
        <v>0</v>
      </c>
      <c r="F73" s="1">
        <f>B73+C73-D73</f>
        <v>4</v>
      </c>
      <c r="G73" s="1">
        <f>D73/F73</f>
        <v>0</v>
      </c>
      <c r="H73" s="1">
        <f>1-G73</f>
        <v>1</v>
      </c>
    </row>
    <row r="74" spans="1:8" x14ac:dyDescent="0.3">
      <c r="A74" s="1" t="s">
        <v>354</v>
      </c>
      <c r="B74" s="1">
        <v>3</v>
      </c>
      <c r="C74" s="1">
        <v>4</v>
      </c>
      <c r="D74" s="1">
        <v>0</v>
      </c>
      <c r="E74" s="1">
        <f>IF(D74&gt;0,1,0)</f>
        <v>0</v>
      </c>
      <c r="F74" s="1">
        <f>B74+C74-D74</f>
        <v>7</v>
      </c>
      <c r="G74" s="1">
        <f>D74/F74</f>
        <v>0</v>
      </c>
      <c r="H74" s="1">
        <f>1-G74</f>
        <v>1</v>
      </c>
    </row>
    <row r="75" spans="1:8" x14ac:dyDescent="0.3">
      <c r="A75" s="1" t="s">
        <v>313</v>
      </c>
      <c r="B75" s="1">
        <v>1</v>
      </c>
      <c r="C75" s="1">
        <v>0</v>
      </c>
      <c r="D75" s="1">
        <v>0</v>
      </c>
      <c r="E75" s="1">
        <f>IF(D75&gt;0,1,0)</f>
        <v>0</v>
      </c>
      <c r="F75" s="1">
        <f>B75+C75-D75</f>
        <v>1</v>
      </c>
      <c r="G75" s="1">
        <f>D75/F75</f>
        <v>0</v>
      </c>
      <c r="H75" s="1">
        <f>1-G75</f>
        <v>1</v>
      </c>
    </row>
    <row r="76" spans="1:8" x14ac:dyDescent="0.3">
      <c r="A76" s="1" t="s">
        <v>370</v>
      </c>
      <c r="B76" s="1">
        <v>2</v>
      </c>
      <c r="C76" s="1">
        <v>0</v>
      </c>
      <c r="D76" s="1">
        <v>0</v>
      </c>
      <c r="E76" s="1">
        <f>IF(D76&gt;0,1,0)</f>
        <v>0</v>
      </c>
      <c r="F76" s="1">
        <f>B76+C76-D76</f>
        <v>2</v>
      </c>
      <c r="G76" s="1">
        <f>D76/F76</f>
        <v>0</v>
      </c>
      <c r="H76" s="1">
        <f>1-G76</f>
        <v>1</v>
      </c>
    </row>
    <row r="77" spans="1:8" x14ac:dyDescent="0.3">
      <c r="A77" s="1" t="s">
        <v>328</v>
      </c>
      <c r="B77" s="1">
        <v>1</v>
      </c>
      <c r="C77" s="1">
        <v>19</v>
      </c>
      <c r="D77" s="1">
        <v>0</v>
      </c>
      <c r="E77" s="1">
        <f>IF(D77&gt;0,1,0)</f>
        <v>0</v>
      </c>
      <c r="F77" s="1">
        <f>B77+C77-D77</f>
        <v>20</v>
      </c>
      <c r="G77" s="1">
        <f>D77/F77</f>
        <v>0</v>
      </c>
      <c r="H77" s="1">
        <f>1-G77</f>
        <v>1</v>
      </c>
    </row>
    <row r="78" spans="1:8" x14ac:dyDescent="0.3">
      <c r="A78" s="1" t="s">
        <v>332</v>
      </c>
      <c r="B78" s="1">
        <v>3</v>
      </c>
      <c r="C78" s="1">
        <v>0</v>
      </c>
      <c r="D78" s="1">
        <v>0</v>
      </c>
      <c r="E78" s="1">
        <f>IF(D78&gt;0,1,0)</f>
        <v>0</v>
      </c>
      <c r="F78" s="1">
        <f>B78+C78-D78</f>
        <v>3</v>
      </c>
      <c r="G78" s="1">
        <f>D78/F78</f>
        <v>0</v>
      </c>
      <c r="H78" s="1">
        <f>1-G78</f>
        <v>1</v>
      </c>
    </row>
    <row r="79" spans="1:8" x14ac:dyDescent="0.3">
      <c r="A79" s="1" t="s">
        <v>375</v>
      </c>
      <c r="B79" s="1">
        <v>7</v>
      </c>
      <c r="C79" s="1">
        <v>5</v>
      </c>
      <c r="D79" s="1">
        <v>0</v>
      </c>
      <c r="E79" s="1">
        <f>IF(D79&gt;0,1,0)</f>
        <v>0</v>
      </c>
      <c r="F79" s="1">
        <f>B79+C79-D79</f>
        <v>12</v>
      </c>
      <c r="G79" s="1">
        <f>D79/F79</f>
        <v>0</v>
      </c>
      <c r="H79" s="1">
        <f>1-G79</f>
        <v>1</v>
      </c>
    </row>
    <row r="80" spans="1:8" x14ac:dyDescent="0.3">
      <c r="A80" s="1" t="s">
        <v>331</v>
      </c>
      <c r="B80" s="1">
        <v>2</v>
      </c>
      <c r="C80" s="1">
        <v>3</v>
      </c>
      <c r="D80" s="1">
        <v>0</v>
      </c>
      <c r="E80" s="1">
        <f>IF(D80&gt;0,1,0)</f>
        <v>0</v>
      </c>
      <c r="F80" s="1">
        <f>B80+C80-D80</f>
        <v>5</v>
      </c>
      <c r="G80" s="1">
        <f>D80/F80</f>
        <v>0</v>
      </c>
      <c r="H80" s="1">
        <f>1-G80</f>
        <v>1</v>
      </c>
    </row>
    <row r="81" spans="1:8" x14ac:dyDescent="0.3">
      <c r="A81" s="1" t="s">
        <v>348</v>
      </c>
      <c r="B81" s="1">
        <v>1</v>
      </c>
      <c r="C81" s="1">
        <v>0</v>
      </c>
      <c r="D81" s="1">
        <v>0</v>
      </c>
      <c r="E81" s="1">
        <f>IF(D81&gt;0,1,0)</f>
        <v>0</v>
      </c>
      <c r="F81" s="1">
        <f>B81+C81-D81</f>
        <v>1</v>
      </c>
      <c r="G81" s="1">
        <f>D81/F81</f>
        <v>0</v>
      </c>
      <c r="H81" s="1">
        <f>1-G81</f>
        <v>1</v>
      </c>
    </row>
    <row r="82" spans="1:8" x14ac:dyDescent="0.3">
      <c r="A82" s="1" t="s">
        <v>295</v>
      </c>
      <c r="B82" s="1">
        <v>0</v>
      </c>
      <c r="C82" s="1">
        <v>5</v>
      </c>
      <c r="D82" s="1">
        <v>0</v>
      </c>
      <c r="E82" s="1">
        <f>IF(D82&gt;0,1,0)</f>
        <v>0</v>
      </c>
      <c r="F82" s="1">
        <f>B82+C82-D82</f>
        <v>5</v>
      </c>
      <c r="G82" s="1">
        <f>D82/F82</f>
        <v>0</v>
      </c>
      <c r="H82" s="1">
        <f>1-G82</f>
        <v>1</v>
      </c>
    </row>
    <row r="83" spans="1:8" x14ac:dyDescent="0.3">
      <c r="A83" s="6" t="s">
        <v>356</v>
      </c>
      <c r="B83" s="1">
        <v>3</v>
      </c>
      <c r="C83" s="1">
        <v>0</v>
      </c>
      <c r="D83" s="1">
        <v>0</v>
      </c>
      <c r="E83" s="1">
        <f>IF(D83&gt;0,1,0)</f>
        <v>0</v>
      </c>
      <c r="F83" s="1">
        <f>B83+C83-D83</f>
        <v>3</v>
      </c>
      <c r="G83" s="1">
        <f>D83/F83</f>
        <v>0</v>
      </c>
      <c r="H83" s="1">
        <f>1-G83</f>
        <v>1</v>
      </c>
    </row>
    <row r="84" spans="1:8" x14ac:dyDescent="0.3">
      <c r="A84" s="6" t="s">
        <v>353</v>
      </c>
      <c r="B84" s="1">
        <v>1</v>
      </c>
      <c r="C84" s="1">
        <v>0</v>
      </c>
      <c r="D84" s="1">
        <v>0</v>
      </c>
      <c r="E84" s="1">
        <f>IF(D84&gt;0,1,0)</f>
        <v>0</v>
      </c>
      <c r="F84" s="1">
        <f>B84+C84-D84</f>
        <v>1</v>
      </c>
      <c r="G84" s="1">
        <f>D84/F84</f>
        <v>0</v>
      </c>
      <c r="H84" s="1">
        <f>1-G84</f>
        <v>1</v>
      </c>
    </row>
    <row r="85" spans="1:8" x14ac:dyDescent="0.3">
      <c r="A85" s="6" t="s">
        <v>352</v>
      </c>
      <c r="B85" s="1">
        <v>2</v>
      </c>
      <c r="C85" s="1">
        <v>0</v>
      </c>
      <c r="D85" s="1">
        <v>0</v>
      </c>
      <c r="E85" s="1">
        <f>IF(D85&gt;0,1,0)</f>
        <v>0</v>
      </c>
      <c r="F85" s="1">
        <f>B85+C85-D85</f>
        <v>2</v>
      </c>
      <c r="G85" s="1">
        <f>D85/F85</f>
        <v>0</v>
      </c>
      <c r="H85" s="1">
        <f>1-G85</f>
        <v>1</v>
      </c>
    </row>
    <row r="86" spans="1:8" x14ac:dyDescent="0.3">
      <c r="A86" s="6" t="s">
        <v>311</v>
      </c>
      <c r="B86" s="1">
        <v>23</v>
      </c>
      <c r="C86" s="1">
        <v>0</v>
      </c>
      <c r="D86" s="1">
        <v>0</v>
      </c>
      <c r="E86" s="1">
        <f>IF(D86&gt;0,1,0)</f>
        <v>0</v>
      </c>
      <c r="F86" s="1">
        <f>B86+C86-D86</f>
        <v>23</v>
      </c>
      <c r="G86" s="1">
        <f>D86/F86</f>
        <v>0</v>
      </c>
      <c r="H86" s="1">
        <f>1-G86</f>
        <v>1</v>
      </c>
    </row>
    <row r="87" spans="1:8" x14ac:dyDescent="0.3">
      <c r="A87" s="6" t="s">
        <v>341</v>
      </c>
      <c r="B87" s="1">
        <v>1</v>
      </c>
      <c r="C87" s="1">
        <v>0</v>
      </c>
      <c r="D87" s="1">
        <v>0</v>
      </c>
      <c r="E87" s="1">
        <f>IF(D87&gt;0,1,0)</f>
        <v>0</v>
      </c>
      <c r="F87" s="1">
        <f>B87+C87-D87</f>
        <v>1</v>
      </c>
      <c r="G87" s="1">
        <f>D87/F87</f>
        <v>0</v>
      </c>
      <c r="H87" s="1">
        <f>1-G87</f>
        <v>1</v>
      </c>
    </row>
    <row r="88" spans="1:8" x14ac:dyDescent="0.3">
      <c r="A88" s="6" t="s">
        <v>309</v>
      </c>
      <c r="B88" s="1">
        <v>7</v>
      </c>
      <c r="C88" s="1">
        <v>0</v>
      </c>
      <c r="D88" s="1">
        <v>0</v>
      </c>
      <c r="E88" s="1">
        <f>IF(D88&gt;0,1,0)</f>
        <v>0</v>
      </c>
      <c r="F88" s="1">
        <f>B88+C88-D88</f>
        <v>7</v>
      </c>
      <c r="G88" s="1">
        <f>D88/F88</f>
        <v>0</v>
      </c>
      <c r="H88" s="1">
        <f>1-G88</f>
        <v>1</v>
      </c>
    </row>
    <row r="89" spans="1:8" x14ac:dyDescent="0.3">
      <c r="A89" s="6" t="s">
        <v>339</v>
      </c>
      <c r="B89" s="1">
        <v>2</v>
      </c>
      <c r="C89" s="1">
        <v>0</v>
      </c>
      <c r="D89" s="1">
        <v>0</v>
      </c>
      <c r="E89" s="1">
        <f>IF(D89&gt;0,1,0)</f>
        <v>0</v>
      </c>
      <c r="F89" s="1">
        <f>B89+C89-D89</f>
        <v>2</v>
      </c>
      <c r="G89" s="1">
        <f>D89/F89</f>
        <v>0</v>
      </c>
      <c r="H89" s="1">
        <f>1-G89</f>
        <v>1</v>
      </c>
    </row>
    <row r="90" spans="1:8" x14ac:dyDescent="0.3">
      <c r="A90" s="6" t="s">
        <v>335</v>
      </c>
      <c r="B90" s="1">
        <v>4</v>
      </c>
      <c r="C90" s="1">
        <v>0</v>
      </c>
      <c r="D90" s="1">
        <v>0</v>
      </c>
      <c r="E90" s="1">
        <f>IF(D90&gt;0,1,0)</f>
        <v>0</v>
      </c>
      <c r="F90" s="1">
        <f>B90+C90-D90</f>
        <v>4</v>
      </c>
      <c r="G90" s="1">
        <f>D90/F90</f>
        <v>0</v>
      </c>
      <c r="H90" s="1">
        <f>1-G90</f>
        <v>1</v>
      </c>
    </row>
    <row r="91" spans="1:8" x14ac:dyDescent="0.3">
      <c r="A91" s="6" t="s">
        <v>303</v>
      </c>
      <c r="B91" s="1">
        <v>2</v>
      </c>
      <c r="C91" s="1">
        <v>0</v>
      </c>
      <c r="D91" s="1">
        <v>0</v>
      </c>
      <c r="E91" s="1">
        <f>IF(D91&gt;0,1,0)</f>
        <v>0</v>
      </c>
      <c r="F91" s="1">
        <f>B91+C91-D91</f>
        <v>2</v>
      </c>
      <c r="G91" s="1">
        <f>D91/F91</f>
        <v>0</v>
      </c>
      <c r="H91" s="1">
        <f>1-G91</f>
        <v>1</v>
      </c>
    </row>
    <row r="92" spans="1:8" x14ac:dyDescent="0.3">
      <c r="A92" s="6" t="s">
        <v>299</v>
      </c>
      <c r="B92" s="1">
        <v>3</v>
      </c>
      <c r="C92" s="1">
        <v>0</v>
      </c>
      <c r="D92" s="1">
        <v>0</v>
      </c>
      <c r="E92" s="1">
        <f>IF(D92&gt;0,1,0)</f>
        <v>0</v>
      </c>
      <c r="F92" s="1">
        <f>B92+C92-D92</f>
        <v>3</v>
      </c>
      <c r="G92" s="1">
        <f>D92/F92</f>
        <v>0</v>
      </c>
      <c r="H92" s="1">
        <f>1-G92</f>
        <v>1</v>
      </c>
    </row>
    <row r="93" spans="1:8" x14ac:dyDescent="0.3">
      <c r="A93" s="6" t="s">
        <v>364</v>
      </c>
      <c r="B93" s="1">
        <v>2</v>
      </c>
      <c r="C93" s="1">
        <v>0</v>
      </c>
      <c r="D93" s="1">
        <v>0</v>
      </c>
      <c r="E93" s="1">
        <f>IF(D93&gt;0,1,0)</f>
        <v>0</v>
      </c>
      <c r="F93" s="1">
        <f>B93+C93-D93</f>
        <v>2</v>
      </c>
      <c r="G93" s="1">
        <f>D93/F93</f>
        <v>0</v>
      </c>
      <c r="H93" s="1">
        <f>1-G93</f>
        <v>1</v>
      </c>
    </row>
    <row r="94" spans="1:8" x14ac:dyDescent="0.3">
      <c r="A94" s="6" t="s">
        <v>320</v>
      </c>
      <c r="B94" s="1">
        <v>4</v>
      </c>
      <c r="C94" s="1">
        <v>0</v>
      </c>
      <c r="D94" s="1">
        <v>0</v>
      </c>
      <c r="E94" s="1">
        <f>IF(D94&gt;0,1,0)</f>
        <v>0</v>
      </c>
      <c r="F94" s="1">
        <f>B94+C94-D94</f>
        <v>4</v>
      </c>
      <c r="G94" s="1">
        <f>D94/F94</f>
        <v>0</v>
      </c>
      <c r="H94" s="1">
        <f>1-G94</f>
        <v>1</v>
      </c>
    </row>
    <row r="95" spans="1:8" x14ac:dyDescent="0.3">
      <c r="A95" s="6" t="s">
        <v>293</v>
      </c>
      <c r="B95" s="1">
        <v>10</v>
      </c>
      <c r="C95" s="1">
        <v>0</v>
      </c>
      <c r="D95" s="1">
        <v>0</v>
      </c>
      <c r="E95" s="1">
        <f>IF(D95&gt;0,1,0)</f>
        <v>0</v>
      </c>
      <c r="F95" s="1">
        <f>B95+C95-D95</f>
        <v>10</v>
      </c>
      <c r="G95" s="1">
        <f>D95/F95</f>
        <v>0</v>
      </c>
      <c r="H95" s="1">
        <f>1-G95</f>
        <v>1</v>
      </c>
    </row>
    <row r="96" spans="1:8" x14ac:dyDescent="0.3">
      <c r="A96" s="6" t="s">
        <v>373</v>
      </c>
      <c r="B96" s="1">
        <v>14</v>
      </c>
      <c r="C96" s="1">
        <v>0</v>
      </c>
      <c r="D96" s="1">
        <v>0</v>
      </c>
      <c r="E96" s="1">
        <f>IF(D96&gt;0,1,0)</f>
        <v>0</v>
      </c>
      <c r="F96" s="1">
        <f>B96+C96-D96</f>
        <v>14</v>
      </c>
      <c r="G96" s="1">
        <f>D96/F96</f>
        <v>0</v>
      </c>
      <c r="H96" s="1">
        <f>1-G96</f>
        <v>1</v>
      </c>
    </row>
  </sheetData>
  <phoneticPr fontId="19" type="noConversion"/>
  <conditionalFormatting sqref="A1">
    <cfRule type="duplicateValues" dxfId="18" priority="1"/>
    <cfRule type="duplicateValues" dxfId="17" priority="2"/>
  </conditionalFormatting>
  <conditionalFormatting sqref="A2:A82">
    <cfRule type="duplicateValues" dxfId="16" priority="3"/>
  </conditionalFormatting>
  <conditionalFormatting sqref="A83:A96">
    <cfRule type="duplicateValues" dxfId="15" priority="4"/>
    <cfRule type="duplicateValues" dxfId="14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46A0-9315-44E1-A590-54633D3408C8}">
  <dimension ref="A1:H96"/>
  <sheetViews>
    <sheetView workbookViewId="0">
      <selection activeCell="Y1" sqref="Y1:Y1048576"/>
    </sheetView>
  </sheetViews>
  <sheetFormatPr defaultRowHeight="14" x14ac:dyDescent="0.3"/>
  <cols>
    <col min="1" max="1" width="26" style="1" customWidth="1"/>
    <col min="2" max="2" width="12.5" style="1" bestFit="1" customWidth="1"/>
    <col min="3" max="3" width="14.25" style="1" bestFit="1" customWidth="1"/>
    <col min="4" max="4" width="8.75" style="1" bestFit="1" customWidth="1"/>
    <col min="5" max="5" width="9.83203125" style="1" bestFit="1" customWidth="1"/>
    <col min="6" max="6" width="6.75" style="1" bestFit="1" customWidth="1"/>
    <col min="7" max="7" width="8.6640625" style="1"/>
    <col min="8" max="8" width="17.5" style="1" bestFit="1" customWidth="1"/>
    <col min="9" max="16384" width="8.6640625" style="1"/>
  </cols>
  <sheetData>
    <row r="1" spans="1:8" x14ac:dyDescent="0.3">
      <c r="A1" s="5" t="s">
        <v>395</v>
      </c>
      <c r="B1" s="4" t="s">
        <v>394</v>
      </c>
      <c r="C1" s="4" t="s">
        <v>393</v>
      </c>
      <c r="D1" s="4" t="s">
        <v>392</v>
      </c>
      <c r="E1" s="4" t="s">
        <v>391</v>
      </c>
      <c r="F1" s="4" t="s">
        <v>390</v>
      </c>
      <c r="G1" s="4" t="s">
        <v>389</v>
      </c>
      <c r="H1" s="4" t="s">
        <v>388</v>
      </c>
    </row>
    <row r="2" spans="1:8" x14ac:dyDescent="0.3">
      <c r="A2" s="10" t="s">
        <v>312</v>
      </c>
      <c r="B2" s="8">
        <v>68</v>
      </c>
      <c r="C2" s="8">
        <v>154</v>
      </c>
      <c r="D2" s="8">
        <v>42</v>
      </c>
      <c r="E2" s="8">
        <f>IF(D2&gt;0,1,0)</f>
        <v>1</v>
      </c>
      <c r="F2" s="8">
        <f>B2+C2-D2</f>
        <v>180</v>
      </c>
      <c r="G2" s="8">
        <f>D2/F2</f>
        <v>0.23333333333333334</v>
      </c>
      <c r="H2" s="8">
        <f>1-G2</f>
        <v>0.76666666666666661</v>
      </c>
    </row>
    <row r="3" spans="1:8" x14ac:dyDescent="0.3">
      <c r="A3" s="10" t="s">
        <v>378</v>
      </c>
      <c r="B3" s="8">
        <v>26</v>
      </c>
      <c r="C3" s="8">
        <v>26</v>
      </c>
      <c r="D3" s="8">
        <v>16</v>
      </c>
      <c r="E3" s="8">
        <f>IF(D3&gt;0,1,0)</f>
        <v>1</v>
      </c>
      <c r="F3" s="8">
        <f>B3+C3-D3</f>
        <v>36</v>
      </c>
      <c r="G3" s="8">
        <f>D3/F3</f>
        <v>0.44444444444444442</v>
      </c>
      <c r="H3" s="8">
        <f>1-G3</f>
        <v>0.55555555555555558</v>
      </c>
    </row>
    <row r="4" spans="1:8" x14ac:dyDescent="0.3">
      <c r="A4" s="2" t="s">
        <v>384</v>
      </c>
      <c r="B4" s="9">
        <v>52</v>
      </c>
      <c r="C4" s="9">
        <v>45</v>
      </c>
      <c r="D4" s="8">
        <v>11</v>
      </c>
      <c r="E4" s="8">
        <f>IF(D4&gt;0,1,0)</f>
        <v>1</v>
      </c>
      <c r="F4" s="8">
        <f>B4+C4-D4</f>
        <v>86</v>
      </c>
      <c r="G4" s="8">
        <f>D4/F4</f>
        <v>0.12790697674418605</v>
      </c>
      <c r="H4" s="8">
        <f>1-G4</f>
        <v>0.87209302325581395</v>
      </c>
    </row>
    <row r="5" spans="1:8" x14ac:dyDescent="0.3">
      <c r="A5" s="10" t="s">
        <v>400</v>
      </c>
      <c r="B5" s="8">
        <v>18</v>
      </c>
      <c r="C5" s="8">
        <v>25</v>
      </c>
      <c r="D5" s="8">
        <v>9</v>
      </c>
      <c r="E5" s="8">
        <f>IF(D5&gt;0,1,0)</f>
        <v>1</v>
      </c>
      <c r="F5" s="8">
        <f>B5+C5-D5</f>
        <v>34</v>
      </c>
      <c r="G5" s="8">
        <f>D5/F5</f>
        <v>0.26470588235294118</v>
      </c>
      <c r="H5" s="8">
        <f>1-G5</f>
        <v>0.73529411764705888</v>
      </c>
    </row>
    <row r="6" spans="1:8" x14ac:dyDescent="0.3">
      <c r="A6" s="10" t="s">
        <v>308</v>
      </c>
      <c r="B6" s="8">
        <v>10</v>
      </c>
      <c r="C6" s="8">
        <v>17</v>
      </c>
      <c r="D6" s="8">
        <v>6</v>
      </c>
      <c r="E6" s="8">
        <f>IF(D6&gt;0,1,0)</f>
        <v>1</v>
      </c>
      <c r="F6" s="8">
        <f>B6+C6-D6</f>
        <v>21</v>
      </c>
      <c r="G6" s="8">
        <f>D6/F6</f>
        <v>0.2857142857142857</v>
      </c>
      <c r="H6" s="8">
        <f>1-G6</f>
        <v>0.7142857142857143</v>
      </c>
    </row>
    <row r="7" spans="1:8" x14ac:dyDescent="0.3">
      <c r="A7" s="10" t="s">
        <v>346</v>
      </c>
      <c r="B7" s="8">
        <v>9</v>
      </c>
      <c r="C7" s="8">
        <v>14</v>
      </c>
      <c r="D7" s="8">
        <v>5</v>
      </c>
      <c r="E7" s="8">
        <f>IF(D7&gt;0,1,0)</f>
        <v>1</v>
      </c>
      <c r="F7" s="8">
        <f>B7+C7-D7</f>
        <v>18</v>
      </c>
      <c r="G7" s="8">
        <f>D7/F7</f>
        <v>0.27777777777777779</v>
      </c>
      <c r="H7" s="8">
        <f>1-G7</f>
        <v>0.72222222222222221</v>
      </c>
    </row>
    <row r="8" spans="1:8" x14ac:dyDescent="0.3">
      <c r="A8" s="10" t="s">
        <v>334</v>
      </c>
      <c r="B8" s="8">
        <v>6</v>
      </c>
      <c r="C8" s="8">
        <v>6</v>
      </c>
      <c r="D8" s="8">
        <v>4</v>
      </c>
      <c r="E8" s="8">
        <f>IF(D8&gt;0,1,0)</f>
        <v>1</v>
      </c>
      <c r="F8" s="8">
        <f>B8+C8-D8</f>
        <v>8</v>
      </c>
      <c r="G8" s="8">
        <f>D8/F8</f>
        <v>0.5</v>
      </c>
      <c r="H8" s="8">
        <f>1-G8</f>
        <v>0.5</v>
      </c>
    </row>
    <row r="9" spans="1:8" x14ac:dyDescent="0.3">
      <c r="A9" s="10" t="s">
        <v>380</v>
      </c>
      <c r="B9" s="8">
        <v>5</v>
      </c>
      <c r="C9" s="8">
        <v>17</v>
      </c>
      <c r="D9" s="8">
        <v>4</v>
      </c>
      <c r="E9" s="8">
        <f>IF(D9&gt;0,1,0)</f>
        <v>1</v>
      </c>
      <c r="F9" s="8">
        <f>B9+C9-D9</f>
        <v>18</v>
      </c>
      <c r="G9" s="8">
        <f>D9/F9</f>
        <v>0.22222222222222221</v>
      </c>
      <c r="H9" s="8">
        <f>1-G9</f>
        <v>0.77777777777777779</v>
      </c>
    </row>
    <row r="10" spans="1:8" x14ac:dyDescent="0.3">
      <c r="A10" s="10" t="s">
        <v>333</v>
      </c>
      <c r="B10" s="8">
        <v>10</v>
      </c>
      <c r="C10" s="8">
        <v>5</v>
      </c>
      <c r="D10" s="8">
        <v>4</v>
      </c>
      <c r="E10" s="8">
        <f>IF(D10&gt;0,1,0)</f>
        <v>1</v>
      </c>
      <c r="F10" s="8">
        <f>B10+C10-D10</f>
        <v>11</v>
      </c>
      <c r="G10" s="8">
        <f>D10/F10</f>
        <v>0.36363636363636365</v>
      </c>
      <c r="H10" s="8">
        <f>1-G10</f>
        <v>0.63636363636363635</v>
      </c>
    </row>
    <row r="11" spans="1:8" x14ac:dyDescent="0.3">
      <c r="A11" s="2" t="s">
        <v>374</v>
      </c>
      <c r="B11" s="9">
        <v>6</v>
      </c>
      <c r="C11" s="9">
        <v>43</v>
      </c>
      <c r="D11" s="8">
        <v>4</v>
      </c>
      <c r="E11" s="8">
        <f>IF(D11&gt;0,1,0)</f>
        <v>1</v>
      </c>
      <c r="F11" s="8">
        <f>B11+C11-D11</f>
        <v>45</v>
      </c>
      <c r="G11" s="8">
        <f>D11/F11</f>
        <v>8.8888888888888892E-2</v>
      </c>
      <c r="H11" s="8">
        <f>1-G11</f>
        <v>0.91111111111111109</v>
      </c>
    </row>
    <row r="12" spans="1:8" x14ac:dyDescent="0.3">
      <c r="A12" s="2" t="s">
        <v>373</v>
      </c>
      <c r="B12" s="9">
        <v>14</v>
      </c>
      <c r="C12" s="9">
        <v>130</v>
      </c>
      <c r="D12" s="8">
        <v>4</v>
      </c>
      <c r="E12" s="8">
        <f>IF(D12&gt;0,1,0)</f>
        <v>1</v>
      </c>
      <c r="F12" s="8">
        <f>B12+C12-D12</f>
        <v>140</v>
      </c>
      <c r="G12" s="8">
        <f>D12/F12</f>
        <v>2.8571428571428571E-2</v>
      </c>
      <c r="H12" s="8">
        <f>1-G12</f>
        <v>0.97142857142857142</v>
      </c>
    </row>
    <row r="13" spans="1:8" x14ac:dyDescent="0.3">
      <c r="A13" s="10" t="s">
        <v>379</v>
      </c>
      <c r="B13" s="8">
        <v>12</v>
      </c>
      <c r="C13" s="8">
        <v>7</v>
      </c>
      <c r="D13" s="8">
        <v>3</v>
      </c>
      <c r="E13" s="8">
        <f>IF(D13&gt;0,1,0)</f>
        <v>1</v>
      </c>
      <c r="F13" s="8">
        <f>B13+C13-D13</f>
        <v>16</v>
      </c>
      <c r="G13" s="8">
        <f>D13/F13</f>
        <v>0.1875</v>
      </c>
      <c r="H13" s="8">
        <f>1-G13</f>
        <v>0.8125</v>
      </c>
    </row>
    <row r="14" spans="1:8" x14ac:dyDescent="0.3">
      <c r="A14" s="10" t="s">
        <v>300</v>
      </c>
      <c r="B14" s="8">
        <v>3</v>
      </c>
      <c r="C14" s="8">
        <v>8</v>
      </c>
      <c r="D14" s="8">
        <v>2</v>
      </c>
      <c r="E14" s="8">
        <f>IF(D14&gt;0,1,0)</f>
        <v>1</v>
      </c>
      <c r="F14" s="8">
        <f>B14+C14-D14</f>
        <v>9</v>
      </c>
      <c r="G14" s="8">
        <f>D14/F14</f>
        <v>0.22222222222222221</v>
      </c>
      <c r="H14" s="8">
        <f>1-G14</f>
        <v>0.77777777777777779</v>
      </c>
    </row>
    <row r="15" spans="1:8" x14ac:dyDescent="0.3">
      <c r="A15" s="10" t="s">
        <v>369</v>
      </c>
      <c r="B15" s="8">
        <v>3</v>
      </c>
      <c r="C15" s="8">
        <v>5</v>
      </c>
      <c r="D15" s="8">
        <v>2</v>
      </c>
      <c r="E15" s="8">
        <f>IF(D15&gt;0,1,0)</f>
        <v>1</v>
      </c>
      <c r="F15" s="8">
        <f>B15+C15-D15</f>
        <v>6</v>
      </c>
      <c r="G15" s="8">
        <f>D15/F15</f>
        <v>0.33333333333333331</v>
      </c>
      <c r="H15" s="8">
        <f>1-G15</f>
        <v>0.66666666666666674</v>
      </c>
    </row>
    <row r="16" spans="1:8" x14ac:dyDescent="0.3">
      <c r="A16" s="2" t="s">
        <v>361</v>
      </c>
      <c r="B16" s="9">
        <v>6</v>
      </c>
      <c r="C16" s="9">
        <v>44</v>
      </c>
      <c r="D16" s="8">
        <v>2</v>
      </c>
      <c r="E16" s="8">
        <f>IF(D16&gt;0,1,0)</f>
        <v>1</v>
      </c>
      <c r="F16" s="8">
        <f>B16+C16-D16</f>
        <v>48</v>
      </c>
      <c r="G16" s="8">
        <f>D16/F16</f>
        <v>4.1666666666666664E-2</v>
      </c>
      <c r="H16" s="8">
        <f>1-G16</f>
        <v>0.95833333333333337</v>
      </c>
    </row>
    <row r="17" spans="1:8" x14ac:dyDescent="0.3">
      <c r="A17" s="2" t="s">
        <v>360</v>
      </c>
      <c r="B17" s="9">
        <v>8</v>
      </c>
      <c r="C17" s="9">
        <v>133</v>
      </c>
      <c r="D17" s="8">
        <v>2</v>
      </c>
      <c r="E17" s="8">
        <f>IF(D17&gt;0,1,0)</f>
        <v>1</v>
      </c>
      <c r="F17" s="8">
        <f>B17+C17-D17</f>
        <v>139</v>
      </c>
      <c r="G17" s="8">
        <f>D17/F17</f>
        <v>1.4388489208633094E-2</v>
      </c>
      <c r="H17" s="8">
        <f>1-G17</f>
        <v>0.98561151079136688</v>
      </c>
    </row>
    <row r="18" spans="1:8" x14ac:dyDescent="0.3">
      <c r="A18" s="2" t="s">
        <v>359</v>
      </c>
      <c r="B18" s="9">
        <v>16</v>
      </c>
      <c r="C18" s="9">
        <v>156</v>
      </c>
      <c r="D18" s="8">
        <v>2</v>
      </c>
      <c r="E18" s="8">
        <f>IF(D18&gt;0,1,0)</f>
        <v>1</v>
      </c>
      <c r="F18" s="8">
        <f>B18+C18-D18</f>
        <v>170</v>
      </c>
      <c r="G18" s="8">
        <f>D18/F18</f>
        <v>1.1764705882352941E-2</v>
      </c>
      <c r="H18" s="8">
        <f>1-G18</f>
        <v>0.9882352941176471</v>
      </c>
    </row>
    <row r="19" spans="1:8" x14ac:dyDescent="0.3">
      <c r="A19" s="10" t="s">
        <v>399</v>
      </c>
      <c r="B19" s="8">
        <v>1</v>
      </c>
      <c r="C19" s="8">
        <v>1</v>
      </c>
      <c r="D19" s="8">
        <v>1</v>
      </c>
      <c r="E19" s="8">
        <f>IF(D19&gt;0,1,0)</f>
        <v>1</v>
      </c>
      <c r="F19" s="8">
        <f>B19+C19-D19</f>
        <v>1</v>
      </c>
      <c r="G19" s="8">
        <f>D19/F19</f>
        <v>1</v>
      </c>
      <c r="H19" s="8">
        <f>1-G19</f>
        <v>0</v>
      </c>
    </row>
    <row r="20" spans="1:8" x14ac:dyDescent="0.3">
      <c r="A20" s="10" t="s">
        <v>372</v>
      </c>
      <c r="B20" s="8">
        <v>3</v>
      </c>
      <c r="C20" s="8">
        <v>1</v>
      </c>
      <c r="D20" s="8">
        <v>1</v>
      </c>
      <c r="E20" s="8">
        <f>IF(D20&gt;0,1,0)</f>
        <v>1</v>
      </c>
      <c r="F20" s="8">
        <f>B20+C20-D20</f>
        <v>3</v>
      </c>
      <c r="G20" s="8">
        <f>D20/F20</f>
        <v>0.33333333333333331</v>
      </c>
      <c r="H20" s="8">
        <f>1-G20</f>
        <v>0.66666666666666674</v>
      </c>
    </row>
    <row r="21" spans="1:8" x14ac:dyDescent="0.3">
      <c r="A21" s="10" t="s">
        <v>323</v>
      </c>
      <c r="B21" s="8">
        <v>1</v>
      </c>
      <c r="C21" s="8">
        <v>1</v>
      </c>
      <c r="D21" s="8">
        <v>1</v>
      </c>
      <c r="E21" s="8">
        <f>IF(D21&gt;0,1,0)</f>
        <v>1</v>
      </c>
      <c r="F21" s="8">
        <f>B21+C21-D21</f>
        <v>1</v>
      </c>
      <c r="G21" s="8">
        <f>D21/F21</f>
        <v>1</v>
      </c>
      <c r="H21" s="8">
        <f>1-G21</f>
        <v>0</v>
      </c>
    </row>
    <row r="22" spans="1:8" x14ac:dyDescent="0.3">
      <c r="A22" s="10" t="s">
        <v>338</v>
      </c>
      <c r="B22" s="8">
        <v>1</v>
      </c>
      <c r="C22" s="8">
        <v>6</v>
      </c>
      <c r="D22" s="8">
        <v>1</v>
      </c>
      <c r="E22" s="8">
        <f>IF(D22&gt;0,1,0)</f>
        <v>1</v>
      </c>
      <c r="F22" s="8">
        <f>B22+C22-D22</f>
        <v>6</v>
      </c>
      <c r="G22" s="8">
        <f>D22/F22</f>
        <v>0.16666666666666666</v>
      </c>
      <c r="H22" s="8">
        <f>1-G22</f>
        <v>0.83333333333333337</v>
      </c>
    </row>
    <row r="23" spans="1:8" x14ac:dyDescent="0.3">
      <c r="A23" s="10" t="s">
        <v>321</v>
      </c>
      <c r="B23" s="8">
        <v>1</v>
      </c>
      <c r="C23" s="8">
        <v>1</v>
      </c>
      <c r="D23" s="8">
        <v>1</v>
      </c>
      <c r="E23" s="8">
        <f>IF(D23&gt;0,1,0)</f>
        <v>1</v>
      </c>
      <c r="F23" s="8">
        <f>B23+C23-D23</f>
        <v>1</v>
      </c>
      <c r="G23" s="8">
        <f>D23/F23</f>
        <v>1</v>
      </c>
      <c r="H23" s="8">
        <f>1-G23</f>
        <v>0</v>
      </c>
    </row>
    <row r="24" spans="1:8" x14ac:dyDescent="0.3">
      <c r="A24" s="10" t="s">
        <v>337</v>
      </c>
      <c r="B24" s="8">
        <v>4</v>
      </c>
      <c r="C24" s="8">
        <v>9</v>
      </c>
      <c r="D24" s="8">
        <v>1</v>
      </c>
      <c r="E24" s="8">
        <f>IF(D24&gt;0,1,0)</f>
        <v>1</v>
      </c>
      <c r="F24" s="8">
        <f>B24+C24-D24</f>
        <v>12</v>
      </c>
      <c r="G24" s="8">
        <f>D24/F24</f>
        <v>8.3333333333333329E-2</v>
      </c>
      <c r="H24" s="8">
        <f>1-G24</f>
        <v>0.91666666666666663</v>
      </c>
    </row>
    <row r="25" spans="1:8" x14ac:dyDescent="0.3">
      <c r="A25" s="10" t="s">
        <v>365</v>
      </c>
      <c r="B25" s="8">
        <v>4</v>
      </c>
      <c r="C25" s="8">
        <v>2</v>
      </c>
      <c r="D25" s="8">
        <v>1</v>
      </c>
      <c r="E25" s="8">
        <f>IF(D25&gt;0,1,0)</f>
        <v>1</v>
      </c>
      <c r="F25" s="8">
        <f>B25+C25-D25</f>
        <v>5</v>
      </c>
      <c r="G25" s="8">
        <f>D25/F25</f>
        <v>0.2</v>
      </c>
      <c r="H25" s="8">
        <f>1-G25</f>
        <v>0.8</v>
      </c>
    </row>
    <row r="26" spans="1:8" x14ac:dyDescent="0.3">
      <c r="A26" s="10" t="s">
        <v>368</v>
      </c>
      <c r="B26" s="8">
        <v>2</v>
      </c>
      <c r="C26" s="8">
        <v>3</v>
      </c>
      <c r="D26" s="8">
        <v>1</v>
      </c>
      <c r="E26" s="8">
        <f>IF(D26&gt;0,1,0)</f>
        <v>1</v>
      </c>
      <c r="F26" s="8">
        <f>B26+C26-D26</f>
        <v>4</v>
      </c>
      <c r="G26" s="8">
        <f>D26/F26</f>
        <v>0.25</v>
      </c>
      <c r="H26" s="8">
        <f>1-G26</f>
        <v>0.75</v>
      </c>
    </row>
    <row r="27" spans="1:8" x14ac:dyDescent="0.3">
      <c r="A27" s="10" t="s">
        <v>343</v>
      </c>
      <c r="B27" s="8">
        <v>1</v>
      </c>
      <c r="C27" s="8">
        <v>1</v>
      </c>
      <c r="D27" s="8">
        <v>1</v>
      </c>
      <c r="E27" s="8">
        <f>IF(D27&gt;0,1,0)</f>
        <v>1</v>
      </c>
      <c r="F27" s="8">
        <f>B27+C27-D27</f>
        <v>1</v>
      </c>
      <c r="G27" s="8">
        <f>D27/F27</f>
        <v>1</v>
      </c>
      <c r="H27" s="8">
        <f>1-G27</f>
        <v>0</v>
      </c>
    </row>
    <row r="28" spans="1:8" x14ac:dyDescent="0.3">
      <c r="A28" s="10" t="s">
        <v>397</v>
      </c>
      <c r="B28" s="8">
        <v>5</v>
      </c>
      <c r="C28" s="8">
        <v>3</v>
      </c>
      <c r="D28" s="8">
        <v>1</v>
      </c>
      <c r="E28" s="8">
        <f>IF(D28&gt;0,1,0)</f>
        <v>1</v>
      </c>
      <c r="F28" s="8">
        <f>B28+C28-D28</f>
        <v>7</v>
      </c>
      <c r="G28" s="8">
        <f>D28/F28</f>
        <v>0.14285714285714285</v>
      </c>
      <c r="H28" s="8">
        <f>1-G28</f>
        <v>0.85714285714285721</v>
      </c>
    </row>
    <row r="29" spans="1:8" x14ac:dyDescent="0.3">
      <c r="A29" s="10" t="s">
        <v>307</v>
      </c>
      <c r="B29" s="8">
        <v>3</v>
      </c>
      <c r="C29" s="8">
        <v>7</v>
      </c>
      <c r="D29" s="8">
        <v>1</v>
      </c>
      <c r="E29" s="8">
        <f>IF(D29&gt;0,1,0)</f>
        <v>1</v>
      </c>
      <c r="F29" s="8">
        <f>B29+C29-D29</f>
        <v>9</v>
      </c>
      <c r="G29" s="8">
        <f>D29/F29</f>
        <v>0.1111111111111111</v>
      </c>
      <c r="H29" s="8">
        <f>1-G29</f>
        <v>0.88888888888888884</v>
      </c>
    </row>
    <row r="30" spans="1:8" x14ac:dyDescent="0.3">
      <c r="A30" s="10" t="s">
        <v>351</v>
      </c>
      <c r="B30" s="8">
        <v>1</v>
      </c>
      <c r="C30" s="8">
        <v>3</v>
      </c>
      <c r="D30" s="8">
        <v>1</v>
      </c>
      <c r="E30" s="8">
        <f>IF(D30&gt;0,1,0)</f>
        <v>1</v>
      </c>
      <c r="F30" s="8">
        <f>B30+C30-D30</f>
        <v>3</v>
      </c>
      <c r="G30" s="8">
        <f>D30/F30</f>
        <v>0.33333333333333331</v>
      </c>
      <c r="H30" s="8">
        <f>1-G30</f>
        <v>0.66666666666666674</v>
      </c>
    </row>
    <row r="31" spans="1:8" x14ac:dyDescent="0.3">
      <c r="A31" s="10" t="s">
        <v>304</v>
      </c>
      <c r="B31" s="8">
        <v>8</v>
      </c>
      <c r="C31" s="8">
        <v>4</v>
      </c>
      <c r="D31" s="8">
        <v>1</v>
      </c>
      <c r="E31" s="8">
        <f>IF(D31&gt;0,1,0)</f>
        <v>1</v>
      </c>
      <c r="F31" s="8">
        <f>B31+C31-D31</f>
        <v>11</v>
      </c>
      <c r="G31" s="8">
        <f>D31/F31</f>
        <v>9.0909090909090912E-2</v>
      </c>
      <c r="H31" s="8">
        <f>1-G31</f>
        <v>0.90909090909090906</v>
      </c>
    </row>
    <row r="32" spans="1:8" x14ac:dyDescent="0.3">
      <c r="A32" s="10" t="s">
        <v>363</v>
      </c>
      <c r="B32" s="8">
        <v>2</v>
      </c>
      <c r="C32" s="8">
        <v>1</v>
      </c>
      <c r="D32" s="8">
        <v>1</v>
      </c>
      <c r="E32" s="8">
        <f>IF(D32&gt;0,1,0)</f>
        <v>1</v>
      </c>
      <c r="F32" s="8">
        <f>B32+C32-D32</f>
        <v>2</v>
      </c>
      <c r="G32" s="8">
        <f>D32/F32</f>
        <v>0.5</v>
      </c>
      <c r="H32" s="8">
        <f>1-G32</f>
        <v>0.5</v>
      </c>
    </row>
    <row r="33" spans="1:8" x14ac:dyDescent="0.3">
      <c r="A33" s="10" t="s">
        <v>325</v>
      </c>
      <c r="B33" s="8">
        <v>1</v>
      </c>
      <c r="C33" s="8">
        <v>4</v>
      </c>
      <c r="D33" s="8">
        <v>1</v>
      </c>
      <c r="E33" s="8">
        <f>IF(D33&gt;0,1,0)</f>
        <v>1</v>
      </c>
      <c r="F33" s="8">
        <f>B33+C33-D33</f>
        <v>4</v>
      </c>
      <c r="G33" s="8">
        <f>D33/F33</f>
        <v>0.25</v>
      </c>
      <c r="H33" s="8">
        <f>1-G33</f>
        <v>0.75</v>
      </c>
    </row>
    <row r="34" spans="1:8" x14ac:dyDescent="0.3">
      <c r="A34" s="10" t="s">
        <v>350</v>
      </c>
      <c r="B34" s="8">
        <v>1</v>
      </c>
      <c r="C34" s="8">
        <v>1</v>
      </c>
      <c r="D34" s="8">
        <v>1</v>
      </c>
      <c r="E34" s="8">
        <f>IF(D34&gt;0,1,0)</f>
        <v>1</v>
      </c>
      <c r="F34" s="8">
        <f>B34+C34-D34</f>
        <v>1</v>
      </c>
      <c r="G34" s="8">
        <f>D34/F34</f>
        <v>1</v>
      </c>
      <c r="H34" s="8">
        <f>1-G34</f>
        <v>0</v>
      </c>
    </row>
    <row r="35" spans="1:8" x14ac:dyDescent="0.3">
      <c r="A35" s="10" t="s">
        <v>385</v>
      </c>
      <c r="B35" s="8">
        <v>20</v>
      </c>
      <c r="C35" s="8">
        <v>3</v>
      </c>
      <c r="D35" s="8">
        <v>1</v>
      </c>
      <c r="E35" s="8">
        <f>IF(D35&gt;0,1,0)</f>
        <v>1</v>
      </c>
      <c r="F35" s="8">
        <f>B35+C35-D35</f>
        <v>22</v>
      </c>
      <c r="G35" s="8">
        <f>D35/F35</f>
        <v>4.5454545454545456E-2</v>
      </c>
      <c r="H35" s="8">
        <f>1-G35</f>
        <v>0.95454545454545459</v>
      </c>
    </row>
    <row r="36" spans="1:8" x14ac:dyDescent="0.3">
      <c r="A36" s="10" t="s">
        <v>349</v>
      </c>
      <c r="B36" s="8">
        <v>2</v>
      </c>
      <c r="C36" s="8">
        <v>1</v>
      </c>
      <c r="D36" s="8">
        <v>1</v>
      </c>
      <c r="E36" s="8">
        <f>IF(D36&gt;0,1,0)</f>
        <v>1</v>
      </c>
      <c r="F36" s="8">
        <f>B36+C36-D36</f>
        <v>2</v>
      </c>
      <c r="G36" s="8">
        <f>D36/F36</f>
        <v>0.5</v>
      </c>
      <c r="H36" s="8">
        <f>1-G36</f>
        <v>0.5</v>
      </c>
    </row>
    <row r="37" spans="1:8" x14ac:dyDescent="0.3">
      <c r="A37" s="10" t="s">
        <v>340</v>
      </c>
      <c r="B37" s="8">
        <v>5</v>
      </c>
      <c r="C37" s="8">
        <v>1</v>
      </c>
      <c r="D37" s="8">
        <v>1</v>
      </c>
      <c r="E37" s="8">
        <f>IF(D37&gt;0,1,0)</f>
        <v>1</v>
      </c>
      <c r="F37" s="8">
        <f>B37+C37-D37</f>
        <v>5</v>
      </c>
      <c r="G37" s="8">
        <f>D37/F37</f>
        <v>0.2</v>
      </c>
      <c r="H37" s="8">
        <f>1-G37</f>
        <v>0.8</v>
      </c>
    </row>
    <row r="38" spans="1:8" x14ac:dyDescent="0.3">
      <c r="A38" s="10" t="s">
        <v>366</v>
      </c>
      <c r="B38" s="8">
        <v>15</v>
      </c>
      <c r="C38" s="8">
        <v>16</v>
      </c>
      <c r="D38" s="8">
        <v>1</v>
      </c>
      <c r="E38" s="8">
        <f>IF(D38&gt;0,1,0)</f>
        <v>1</v>
      </c>
      <c r="F38" s="8">
        <f>B38+C38-D38</f>
        <v>30</v>
      </c>
      <c r="G38" s="8">
        <f>D38/F38</f>
        <v>3.3333333333333333E-2</v>
      </c>
      <c r="H38" s="8">
        <f>1-G38</f>
        <v>0.96666666666666667</v>
      </c>
    </row>
    <row r="39" spans="1:8" x14ac:dyDescent="0.3">
      <c r="A39" s="2" t="s">
        <v>356</v>
      </c>
      <c r="B39" s="9">
        <v>3</v>
      </c>
      <c r="C39" s="9">
        <v>1</v>
      </c>
      <c r="D39" s="8">
        <v>1</v>
      </c>
      <c r="E39" s="8">
        <f>IF(D39&gt;0,1,0)</f>
        <v>1</v>
      </c>
      <c r="F39" s="8">
        <f>B39+C39-D39</f>
        <v>3</v>
      </c>
      <c r="G39" s="8">
        <f>D39/F39</f>
        <v>0.33333333333333331</v>
      </c>
      <c r="H39" s="8">
        <f>1-G39</f>
        <v>0.66666666666666674</v>
      </c>
    </row>
    <row r="40" spans="1:8" x14ac:dyDescent="0.3">
      <c r="A40" s="2" t="s">
        <v>352</v>
      </c>
      <c r="B40" s="9">
        <v>2</v>
      </c>
      <c r="C40" s="9">
        <v>1</v>
      </c>
      <c r="D40" s="8">
        <v>1</v>
      </c>
      <c r="E40" s="8">
        <f>IF(D40&gt;0,1,0)</f>
        <v>1</v>
      </c>
      <c r="F40" s="8">
        <f>B40+C40-D40</f>
        <v>2</v>
      </c>
      <c r="G40" s="8">
        <f>D40/F40</f>
        <v>0.5</v>
      </c>
      <c r="H40" s="8">
        <f>1-G40</f>
        <v>0.5</v>
      </c>
    </row>
    <row r="41" spans="1:8" x14ac:dyDescent="0.3">
      <c r="A41" s="2" t="s">
        <v>345</v>
      </c>
      <c r="B41" s="9">
        <v>3</v>
      </c>
      <c r="C41" s="9">
        <v>2</v>
      </c>
      <c r="D41" s="8">
        <v>1</v>
      </c>
      <c r="E41" s="8">
        <f>IF(D41&gt;0,1,0)</f>
        <v>1</v>
      </c>
      <c r="F41" s="8">
        <f>B41+C41-D41</f>
        <v>4</v>
      </c>
      <c r="G41" s="8">
        <f>D41/F41</f>
        <v>0.25</v>
      </c>
      <c r="H41" s="8">
        <f>1-G41</f>
        <v>0.75</v>
      </c>
    </row>
    <row r="42" spans="1:8" x14ac:dyDescent="0.3">
      <c r="A42" s="2" t="s">
        <v>341</v>
      </c>
      <c r="B42" s="9">
        <v>1</v>
      </c>
      <c r="C42" s="9">
        <v>3</v>
      </c>
      <c r="D42" s="8">
        <v>1</v>
      </c>
      <c r="E42" s="8">
        <f>IF(D42&gt;0,1,0)</f>
        <v>1</v>
      </c>
      <c r="F42" s="8">
        <f>B42+C42-D42</f>
        <v>3</v>
      </c>
      <c r="G42" s="8">
        <f>D42/F42</f>
        <v>0.33333333333333331</v>
      </c>
      <c r="H42" s="8">
        <f>1-G42</f>
        <v>0.66666666666666674</v>
      </c>
    </row>
    <row r="43" spans="1:8" x14ac:dyDescent="0.3">
      <c r="A43" s="2" t="s">
        <v>339</v>
      </c>
      <c r="B43" s="9">
        <v>2</v>
      </c>
      <c r="C43" s="9">
        <v>4</v>
      </c>
      <c r="D43" s="8">
        <v>1</v>
      </c>
      <c r="E43" s="8">
        <f>IF(D43&gt;0,1,0)</f>
        <v>1</v>
      </c>
      <c r="F43" s="8">
        <f>B43+C43-D43</f>
        <v>5</v>
      </c>
      <c r="G43" s="8">
        <f>D43/F43</f>
        <v>0.2</v>
      </c>
      <c r="H43" s="8">
        <f>1-G43</f>
        <v>0.8</v>
      </c>
    </row>
    <row r="44" spans="1:8" x14ac:dyDescent="0.3">
      <c r="A44" s="2" t="s">
        <v>335</v>
      </c>
      <c r="B44" s="9">
        <v>4</v>
      </c>
      <c r="C44" s="9">
        <v>5</v>
      </c>
      <c r="D44" s="8">
        <v>1</v>
      </c>
      <c r="E44" s="8">
        <f>IF(D44&gt;0,1,0)</f>
        <v>1</v>
      </c>
      <c r="F44" s="8">
        <f>B44+C44-D44</f>
        <v>8</v>
      </c>
      <c r="G44" s="8">
        <f>D44/F44</f>
        <v>0.125</v>
      </c>
      <c r="H44" s="8">
        <f>1-G44</f>
        <v>0.875</v>
      </c>
    </row>
    <row r="45" spans="1:8" x14ac:dyDescent="0.3">
      <c r="A45" s="2" t="s">
        <v>320</v>
      </c>
      <c r="B45" s="9">
        <v>4</v>
      </c>
      <c r="C45" s="9">
        <v>54</v>
      </c>
      <c r="D45" s="8">
        <v>1</v>
      </c>
      <c r="E45" s="8">
        <f>IF(D45&gt;0,1,0)</f>
        <v>1</v>
      </c>
      <c r="F45" s="8">
        <f>B45+C45-D45</f>
        <v>57</v>
      </c>
      <c r="G45" s="8">
        <f>D45/F45</f>
        <v>1.7543859649122806E-2</v>
      </c>
      <c r="H45" s="8">
        <f>1-G45</f>
        <v>0.98245614035087714</v>
      </c>
    </row>
    <row r="46" spans="1:8" x14ac:dyDescent="0.3">
      <c r="A46" s="2" t="s">
        <v>319</v>
      </c>
      <c r="B46" s="9">
        <v>1</v>
      </c>
      <c r="C46" s="9">
        <v>65</v>
      </c>
      <c r="D46" s="8">
        <v>1</v>
      </c>
      <c r="E46" s="8">
        <f>IF(D46&gt;0,1,0)</f>
        <v>1</v>
      </c>
      <c r="F46" s="8">
        <f>B46+C46-D46</f>
        <v>65</v>
      </c>
      <c r="G46" s="8">
        <f>D46/F46</f>
        <v>1.5384615384615385E-2</v>
      </c>
      <c r="H46" s="8">
        <f>1-G46</f>
        <v>0.98461538461538467</v>
      </c>
    </row>
    <row r="47" spans="1:8" x14ac:dyDescent="0.3">
      <c r="A47" s="2" t="s">
        <v>318</v>
      </c>
      <c r="B47" s="9">
        <v>1</v>
      </c>
      <c r="C47" s="9">
        <v>69</v>
      </c>
      <c r="D47" s="8">
        <v>1</v>
      </c>
      <c r="E47" s="8">
        <f>IF(D47&gt;0,1,0)</f>
        <v>1</v>
      </c>
      <c r="F47" s="8">
        <f>B47+C47-D47</f>
        <v>69</v>
      </c>
      <c r="G47" s="8">
        <f>D47/F47</f>
        <v>1.4492753623188406E-2</v>
      </c>
      <c r="H47" s="8">
        <f>1-G47</f>
        <v>0.98550724637681164</v>
      </c>
    </row>
    <row r="48" spans="1:8" x14ac:dyDescent="0.3">
      <c r="A48" s="2" t="s">
        <v>317</v>
      </c>
      <c r="B48" s="9">
        <v>1</v>
      </c>
      <c r="C48" s="9">
        <v>116</v>
      </c>
      <c r="D48" s="8">
        <v>1</v>
      </c>
      <c r="E48" s="8">
        <f>IF(D48&gt;0,1,0)</f>
        <v>1</v>
      </c>
      <c r="F48" s="8">
        <f>B48+C48-D48</f>
        <v>116</v>
      </c>
      <c r="G48" s="8">
        <f>D48/F48</f>
        <v>8.6206896551724137E-3</v>
      </c>
      <c r="H48" s="8">
        <f>1-G48</f>
        <v>0.99137931034482762</v>
      </c>
    </row>
    <row r="49" spans="1:8" x14ac:dyDescent="0.3">
      <c r="A49" s="2" t="s">
        <v>316</v>
      </c>
      <c r="B49" s="9">
        <v>1</v>
      </c>
      <c r="C49" s="9">
        <v>135</v>
      </c>
      <c r="D49" s="8">
        <v>1</v>
      </c>
      <c r="E49" s="8">
        <f>IF(D49&gt;0,1,0)</f>
        <v>1</v>
      </c>
      <c r="F49" s="8">
        <f>B49+C49-D49</f>
        <v>135</v>
      </c>
      <c r="G49" s="8">
        <f>D49/F49</f>
        <v>7.4074074074074077E-3</v>
      </c>
      <c r="H49" s="8">
        <f>1-G49</f>
        <v>0.99259259259259258</v>
      </c>
    </row>
    <row r="50" spans="1:8" x14ac:dyDescent="0.3">
      <c r="A50" s="2" t="s">
        <v>315</v>
      </c>
      <c r="B50" s="9">
        <v>3</v>
      </c>
      <c r="C50" s="9">
        <v>188</v>
      </c>
      <c r="D50" s="8">
        <v>1</v>
      </c>
      <c r="E50" s="8">
        <f>IF(D50&gt;0,1,0)</f>
        <v>1</v>
      </c>
      <c r="F50" s="8">
        <f>B50+C50-D50</f>
        <v>190</v>
      </c>
      <c r="G50" s="8">
        <f>D50/F50</f>
        <v>5.263157894736842E-3</v>
      </c>
      <c r="H50" s="8">
        <f>1-G50</f>
        <v>0.99473684210526314</v>
      </c>
    </row>
    <row r="51" spans="1:8" x14ac:dyDescent="0.3">
      <c r="A51" s="10" t="s">
        <v>298</v>
      </c>
      <c r="B51" s="8">
        <v>3</v>
      </c>
      <c r="C51" s="8">
        <v>5</v>
      </c>
      <c r="D51" s="8">
        <v>0</v>
      </c>
      <c r="E51" s="8">
        <f>IF(D51&gt;0,1,0)</f>
        <v>0</v>
      </c>
      <c r="F51" s="8">
        <f>B51+C51-D51</f>
        <v>8</v>
      </c>
      <c r="G51" s="8">
        <f>D51/F51</f>
        <v>0</v>
      </c>
      <c r="H51" s="8">
        <f>1-G51</f>
        <v>1</v>
      </c>
    </row>
    <row r="52" spans="1:8" x14ac:dyDescent="0.3">
      <c r="A52" s="10" t="s">
        <v>302</v>
      </c>
      <c r="B52" s="8">
        <v>3</v>
      </c>
      <c r="C52" s="8">
        <v>0</v>
      </c>
      <c r="D52" s="8">
        <v>0</v>
      </c>
      <c r="E52" s="8">
        <f>IF(D52&gt;0,1,0)</f>
        <v>0</v>
      </c>
      <c r="F52" s="8">
        <f>B52+C52-D52</f>
        <v>3</v>
      </c>
      <c r="G52" s="8">
        <f>D52/F52</f>
        <v>0</v>
      </c>
      <c r="H52" s="8">
        <f>1-G52</f>
        <v>1</v>
      </c>
    </row>
    <row r="53" spans="1:8" x14ac:dyDescent="0.3">
      <c r="A53" s="10" t="s">
        <v>306</v>
      </c>
      <c r="B53" s="8">
        <v>9</v>
      </c>
      <c r="C53" s="8">
        <v>3</v>
      </c>
      <c r="D53" s="8">
        <v>0</v>
      </c>
      <c r="E53" s="8">
        <f>IF(D53&gt;0,1,0)</f>
        <v>0</v>
      </c>
      <c r="F53" s="8">
        <f>B53+C53-D53</f>
        <v>12</v>
      </c>
      <c r="G53" s="8">
        <f>D53/F53</f>
        <v>0</v>
      </c>
      <c r="H53" s="8">
        <f>1-G53</f>
        <v>1</v>
      </c>
    </row>
    <row r="54" spans="1:8" x14ac:dyDescent="0.3">
      <c r="A54" s="11" t="s">
        <v>305</v>
      </c>
      <c r="B54" s="8">
        <v>0</v>
      </c>
      <c r="C54" s="8">
        <v>3</v>
      </c>
      <c r="D54" s="8">
        <v>0</v>
      </c>
      <c r="E54" s="8">
        <f>IF(D54&gt;0,1,0)</f>
        <v>0</v>
      </c>
      <c r="F54" s="8">
        <f>B54+C54-D54</f>
        <v>3</v>
      </c>
      <c r="G54" s="8">
        <f>D54/F54</f>
        <v>0</v>
      </c>
      <c r="H54" s="8">
        <f>1-G54</f>
        <v>1</v>
      </c>
    </row>
    <row r="55" spans="1:8" x14ac:dyDescent="0.3">
      <c r="A55" s="10" t="s">
        <v>358</v>
      </c>
      <c r="B55" s="8">
        <v>1</v>
      </c>
      <c r="C55" s="8">
        <v>0</v>
      </c>
      <c r="D55" s="8">
        <v>0</v>
      </c>
      <c r="E55" s="8">
        <f>IF(D55&gt;0,1,0)</f>
        <v>0</v>
      </c>
      <c r="F55" s="8">
        <f>B55+C55-D55</f>
        <v>1</v>
      </c>
      <c r="G55" s="8">
        <f>D55/F55</f>
        <v>0</v>
      </c>
      <c r="H55" s="8">
        <f>1-G55</f>
        <v>1</v>
      </c>
    </row>
    <row r="56" spans="1:8" x14ac:dyDescent="0.3">
      <c r="A56" s="10" t="s">
        <v>371</v>
      </c>
      <c r="B56" s="8">
        <v>3</v>
      </c>
      <c r="C56" s="8">
        <v>1</v>
      </c>
      <c r="D56" s="8">
        <v>0</v>
      </c>
      <c r="E56" s="8">
        <f>IF(D56&gt;0,1,0)</f>
        <v>0</v>
      </c>
      <c r="F56" s="8">
        <f>B56+C56-D56</f>
        <v>4</v>
      </c>
      <c r="G56" s="8">
        <f>D56/F56</f>
        <v>0</v>
      </c>
      <c r="H56" s="8">
        <f>1-G56</f>
        <v>1</v>
      </c>
    </row>
    <row r="57" spans="1:8" x14ac:dyDescent="0.3">
      <c r="A57" s="10" t="s">
        <v>347</v>
      </c>
      <c r="B57" s="8">
        <v>3</v>
      </c>
      <c r="C57" s="8">
        <v>0</v>
      </c>
      <c r="D57" s="8">
        <v>0</v>
      </c>
      <c r="E57" s="8">
        <f>IF(D57&gt;0,1,0)</f>
        <v>0</v>
      </c>
      <c r="F57" s="8">
        <f>B57+C57-D57</f>
        <v>3</v>
      </c>
      <c r="G57" s="8">
        <f>D57/F57</f>
        <v>0</v>
      </c>
      <c r="H57" s="8">
        <f>1-G57</f>
        <v>1</v>
      </c>
    </row>
    <row r="58" spans="1:8" x14ac:dyDescent="0.3">
      <c r="A58" s="10" t="s">
        <v>314</v>
      </c>
      <c r="B58" s="8">
        <v>0</v>
      </c>
      <c r="C58" s="8">
        <v>3</v>
      </c>
      <c r="D58" s="8">
        <v>0</v>
      </c>
      <c r="E58" s="8">
        <f>IF(D58&gt;0,1,0)</f>
        <v>0</v>
      </c>
      <c r="F58" s="8">
        <f>B58+C58-D58</f>
        <v>3</v>
      </c>
      <c r="G58" s="8">
        <f>D58/F58</f>
        <v>0</v>
      </c>
      <c r="H58" s="8">
        <f>1-G58</f>
        <v>1</v>
      </c>
    </row>
    <row r="59" spans="1:8" x14ac:dyDescent="0.3">
      <c r="A59" s="10" t="s">
        <v>381</v>
      </c>
      <c r="B59" s="8">
        <v>5</v>
      </c>
      <c r="C59" s="8">
        <v>4</v>
      </c>
      <c r="D59" s="8">
        <v>0</v>
      </c>
      <c r="E59" s="8">
        <f>IF(D59&gt;0,1,0)</f>
        <v>0</v>
      </c>
      <c r="F59" s="8">
        <f>B59+C59-D59</f>
        <v>9</v>
      </c>
      <c r="G59" s="8">
        <f>D59/F59</f>
        <v>0</v>
      </c>
      <c r="H59" s="8">
        <f>1-G59</f>
        <v>1</v>
      </c>
    </row>
    <row r="60" spans="1:8" x14ac:dyDescent="0.3">
      <c r="A60" s="10" t="s">
        <v>383</v>
      </c>
      <c r="B60" s="8">
        <v>10</v>
      </c>
      <c r="C60" s="8">
        <v>6</v>
      </c>
      <c r="D60" s="8">
        <v>0</v>
      </c>
      <c r="E60" s="8">
        <f>IF(D60&gt;0,1,0)</f>
        <v>0</v>
      </c>
      <c r="F60" s="8">
        <f>B60+C60-D60</f>
        <v>16</v>
      </c>
      <c r="G60" s="8">
        <f>D60/F60</f>
        <v>0</v>
      </c>
      <c r="H60" s="8">
        <f>1-G60</f>
        <v>1</v>
      </c>
    </row>
    <row r="61" spans="1:8" x14ac:dyDescent="0.3">
      <c r="A61" s="10" t="s">
        <v>301</v>
      </c>
      <c r="B61" s="8">
        <v>1</v>
      </c>
      <c r="C61" s="8">
        <v>0</v>
      </c>
      <c r="D61" s="8">
        <v>0</v>
      </c>
      <c r="E61" s="8">
        <f>IF(D61&gt;0,1,0)</f>
        <v>0</v>
      </c>
      <c r="F61" s="8">
        <f>B61+C61-D61</f>
        <v>1</v>
      </c>
      <c r="G61" s="8">
        <f>D61/F61</f>
        <v>0</v>
      </c>
      <c r="H61" s="8">
        <f>1-G61</f>
        <v>1</v>
      </c>
    </row>
    <row r="62" spans="1:8" x14ac:dyDescent="0.3">
      <c r="A62" s="10" t="s">
        <v>329</v>
      </c>
      <c r="B62" s="8">
        <v>2</v>
      </c>
      <c r="C62" s="8">
        <v>0</v>
      </c>
      <c r="D62" s="8">
        <v>0</v>
      </c>
      <c r="E62" s="8">
        <f>IF(D62&gt;0,1,0)</f>
        <v>0</v>
      </c>
      <c r="F62" s="8">
        <f>B62+C62-D62</f>
        <v>2</v>
      </c>
      <c r="G62" s="8">
        <f>D62/F62</f>
        <v>0</v>
      </c>
      <c r="H62" s="8">
        <f>1-G62</f>
        <v>1</v>
      </c>
    </row>
    <row r="63" spans="1:8" x14ac:dyDescent="0.3">
      <c r="A63" s="10" t="s">
        <v>367</v>
      </c>
      <c r="B63" s="8">
        <v>2</v>
      </c>
      <c r="C63" s="8">
        <v>6</v>
      </c>
      <c r="D63" s="8">
        <v>0</v>
      </c>
      <c r="E63" s="8">
        <f>IF(D63&gt;0,1,0)</f>
        <v>0</v>
      </c>
      <c r="F63" s="8">
        <f>B63+C63-D63</f>
        <v>8</v>
      </c>
      <c r="G63" s="8">
        <f>D63/F63</f>
        <v>0</v>
      </c>
      <c r="H63" s="8">
        <f>1-G63</f>
        <v>1</v>
      </c>
    </row>
    <row r="64" spans="1:8" x14ac:dyDescent="0.3">
      <c r="A64" s="10" t="s">
        <v>357</v>
      </c>
      <c r="B64" s="8">
        <v>2</v>
      </c>
      <c r="C64" s="8">
        <v>0</v>
      </c>
      <c r="D64" s="8">
        <v>0</v>
      </c>
      <c r="E64" s="8">
        <f>IF(D64&gt;0,1,0)</f>
        <v>0</v>
      </c>
      <c r="F64" s="8">
        <f>B64+C64-D64</f>
        <v>2</v>
      </c>
      <c r="G64" s="8">
        <f>D64/F64</f>
        <v>0</v>
      </c>
      <c r="H64" s="8">
        <f>1-G64</f>
        <v>1</v>
      </c>
    </row>
    <row r="65" spans="1:8" x14ac:dyDescent="0.3">
      <c r="A65" s="10" t="s">
        <v>362</v>
      </c>
      <c r="B65" s="8">
        <v>2</v>
      </c>
      <c r="C65" s="8">
        <v>0</v>
      </c>
      <c r="D65" s="8">
        <v>0</v>
      </c>
      <c r="E65" s="8">
        <f>IF(D65&gt;0,1,0)</f>
        <v>0</v>
      </c>
      <c r="F65" s="8">
        <f>B65+C65-D65</f>
        <v>2</v>
      </c>
      <c r="G65" s="8">
        <f>D65/F65</f>
        <v>0</v>
      </c>
      <c r="H65" s="8">
        <f>1-G65</f>
        <v>1</v>
      </c>
    </row>
    <row r="66" spans="1:8" x14ac:dyDescent="0.3">
      <c r="A66" s="10" t="s">
        <v>344</v>
      </c>
      <c r="B66" s="8">
        <v>2</v>
      </c>
      <c r="C66" s="8">
        <v>0</v>
      </c>
      <c r="D66" s="8">
        <v>0</v>
      </c>
      <c r="E66" s="8">
        <f>IF(D66&gt;0,1,0)</f>
        <v>0</v>
      </c>
      <c r="F66" s="8">
        <f>B66+C66-D66</f>
        <v>2</v>
      </c>
      <c r="G66" s="8">
        <f>D66/F66</f>
        <v>0</v>
      </c>
      <c r="H66" s="8">
        <f>1-G66</f>
        <v>1</v>
      </c>
    </row>
    <row r="67" spans="1:8" x14ac:dyDescent="0.3">
      <c r="A67" s="10" t="s">
        <v>398</v>
      </c>
      <c r="B67" s="8">
        <v>21</v>
      </c>
      <c r="C67" s="8">
        <v>201</v>
      </c>
      <c r="D67" s="8">
        <v>0</v>
      </c>
      <c r="E67" s="8">
        <f>IF(D67&gt;0,1,0)</f>
        <v>0</v>
      </c>
      <c r="F67" s="8">
        <f>B67+C67-D67</f>
        <v>222</v>
      </c>
      <c r="G67" s="8">
        <f>D67/F67</f>
        <v>0</v>
      </c>
      <c r="H67" s="8">
        <f>1-G67</f>
        <v>1</v>
      </c>
    </row>
    <row r="68" spans="1:8" x14ac:dyDescent="0.3">
      <c r="A68" s="10" t="s">
        <v>355</v>
      </c>
      <c r="B68" s="8">
        <v>1</v>
      </c>
      <c r="C68" s="8">
        <v>5</v>
      </c>
      <c r="D68" s="8">
        <v>0</v>
      </c>
      <c r="E68" s="8">
        <f>IF(D68&gt;0,1,0)</f>
        <v>0</v>
      </c>
      <c r="F68" s="8">
        <f>B68+C68-D68</f>
        <v>6</v>
      </c>
      <c r="G68" s="8">
        <f>D68/F68</f>
        <v>0</v>
      </c>
      <c r="H68" s="8">
        <f>1-G68</f>
        <v>1</v>
      </c>
    </row>
    <row r="69" spans="1:8" x14ac:dyDescent="0.3">
      <c r="A69" s="10" t="s">
        <v>324</v>
      </c>
      <c r="B69" s="8">
        <v>3</v>
      </c>
      <c r="C69" s="8">
        <v>1</v>
      </c>
      <c r="D69" s="8">
        <v>0</v>
      </c>
      <c r="E69" s="8">
        <f>IF(D69&gt;0,1,0)</f>
        <v>0</v>
      </c>
      <c r="F69" s="8">
        <f>B69+C69-D69</f>
        <v>4</v>
      </c>
      <c r="G69" s="8">
        <f>D69/F69</f>
        <v>0</v>
      </c>
      <c r="H69" s="8">
        <f>1-G69</f>
        <v>1</v>
      </c>
    </row>
    <row r="70" spans="1:8" x14ac:dyDescent="0.3">
      <c r="A70" s="10" t="s">
        <v>354</v>
      </c>
      <c r="B70" s="8">
        <v>3</v>
      </c>
      <c r="C70" s="8">
        <v>4</v>
      </c>
      <c r="D70" s="8">
        <v>0</v>
      </c>
      <c r="E70" s="8">
        <f>IF(D70&gt;0,1,0)</f>
        <v>0</v>
      </c>
      <c r="F70" s="8">
        <f>B70+C70-D70</f>
        <v>7</v>
      </c>
      <c r="G70" s="8">
        <f>D70/F70</f>
        <v>0</v>
      </c>
      <c r="H70" s="8">
        <f>1-G70</f>
        <v>1</v>
      </c>
    </row>
    <row r="71" spans="1:8" x14ac:dyDescent="0.3">
      <c r="A71" s="10" t="s">
        <v>377</v>
      </c>
      <c r="B71" s="8">
        <v>11</v>
      </c>
      <c r="C71" s="8">
        <v>3</v>
      </c>
      <c r="D71" s="8">
        <v>0</v>
      </c>
      <c r="E71" s="8">
        <f>IF(D71&gt;0,1,0)</f>
        <v>0</v>
      </c>
      <c r="F71" s="8">
        <f>B71+C71-D71</f>
        <v>14</v>
      </c>
      <c r="G71" s="8">
        <f>D71/F71</f>
        <v>0</v>
      </c>
      <c r="H71" s="8">
        <f>1-G71</f>
        <v>1</v>
      </c>
    </row>
    <row r="72" spans="1:8" x14ac:dyDescent="0.3">
      <c r="A72" s="10" t="s">
        <v>370</v>
      </c>
      <c r="B72" s="8">
        <v>2</v>
      </c>
      <c r="C72" s="8">
        <v>0</v>
      </c>
      <c r="D72" s="8">
        <v>0</v>
      </c>
      <c r="E72" s="8">
        <f>IF(D72&gt;0,1,0)</f>
        <v>0</v>
      </c>
      <c r="F72" s="8">
        <f>B72+C72-D72</f>
        <v>2</v>
      </c>
      <c r="G72" s="8">
        <f>D72/F72</f>
        <v>0</v>
      </c>
      <c r="H72" s="8">
        <f>1-G72</f>
        <v>1</v>
      </c>
    </row>
    <row r="73" spans="1:8" x14ac:dyDescent="0.3">
      <c r="A73" s="10" t="s">
        <v>328</v>
      </c>
      <c r="B73" s="8">
        <v>1</v>
      </c>
      <c r="C73" s="8">
        <v>19</v>
      </c>
      <c r="D73" s="8">
        <v>0</v>
      </c>
      <c r="E73" s="8">
        <f>IF(D73&gt;0,1,0)</f>
        <v>0</v>
      </c>
      <c r="F73" s="8">
        <f>B73+C73-D73</f>
        <v>20</v>
      </c>
      <c r="G73" s="8">
        <f>D73/F73</f>
        <v>0</v>
      </c>
      <c r="H73" s="8">
        <f>1-G73</f>
        <v>1</v>
      </c>
    </row>
    <row r="74" spans="1:8" x14ac:dyDescent="0.3">
      <c r="A74" s="10" t="s">
        <v>353</v>
      </c>
      <c r="B74" s="8">
        <v>1</v>
      </c>
      <c r="C74" s="8">
        <v>3</v>
      </c>
      <c r="D74" s="8">
        <v>0</v>
      </c>
      <c r="E74" s="8">
        <f>IF(D74&gt;0,1,0)</f>
        <v>0</v>
      </c>
      <c r="F74" s="8">
        <f>B74+C74-D74</f>
        <v>4</v>
      </c>
      <c r="G74" s="8">
        <f>D74/F74</f>
        <v>0</v>
      </c>
      <c r="H74" s="8">
        <f>1-G74</f>
        <v>1</v>
      </c>
    </row>
    <row r="75" spans="1:8" x14ac:dyDescent="0.3">
      <c r="A75" s="10" t="s">
        <v>342</v>
      </c>
      <c r="B75" s="8">
        <v>4</v>
      </c>
      <c r="C75" s="8">
        <v>4</v>
      </c>
      <c r="D75" s="8">
        <v>0</v>
      </c>
      <c r="E75" s="8">
        <f>IF(D75&gt;0,1,0)</f>
        <v>0</v>
      </c>
      <c r="F75" s="8">
        <f>B75+C75-D75</f>
        <v>8</v>
      </c>
      <c r="G75" s="8">
        <f>D75/F75</f>
        <v>0</v>
      </c>
      <c r="H75" s="8">
        <f>1-G75</f>
        <v>1</v>
      </c>
    </row>
    <row r="76" spans="1:8" x14ac:dyDescent="0.3">
      <c r="A76" s="10" t="s">
        <v>327</v>
      </c>
      <c r="B76" s="8">
        <v>27</v>
      </c>
      <c r="C76" s="8">
        <v>19</v>
      </c>
      <c r="D76" s="8">
        <v>0</v>
      </c>
      <c r="E76" s="8">
        <f>IF(D76&gt;0,1,0)</f>
        <v>0</v>
      </c>
      <c r="F76" s="8">
        <f>B76+C76-D76</f>
        <v>46</v>
      </c>
      <c r="G76" s="8">
        <f>D76/F76</f>
        <v>0</v>
      </c>
      <c r="H76" s="8">
        <f>1-G76</f>
        <v>1</v>
      </c>
    </row>
    <row r="77" spans="1:8" x14ac:dyDescent="0.3">
      <c r="A77" s="10" t="s">
        <v>332</v>
      </c>
      <c r="B77" s="8">
        <v>3</v>
      </c>
      <c r="C77" s="8">
        <v>0</v>
      </c>
      <c r="D77" s="8">
        <v>0</v>
      </c>
      <c r="E77" s="8">
        <f>IF(D77&gt;0,1,0)</f>
        <v>0</v>
      </c>
      <c r="F77" s="8">
        <f>B77+C77-D77</f>
        <v>3</v>
      </c>
      <c r="G77" s="8">
        <f>D77/F77</f>
        <v>0</v>
      </c>
      <c r="H77" s="8">
        <f>1-G77</f>
        <v>1</v>
      </c>
    </row>
    <row r="78" spans="1:8" x14ac:dyDescent="0.3">
      <c r="A78" s="10" t="s">
        <v>375</v>
      </c>
      <c r="B78" s="8">
        <v>7</v>
      </c>
      <c r="C78" s="8">
        <v>5</v>
      </c>
      <c r="D78" s="8">
        <v>0</v>
      </c>
      <c r="E78" s="8">
        <f>IF(D78&gt;0,1,0)</f>
        <v>0</v>
      </c>
      <c r="F78" s="8">
        <f>B78+C78-D78</f>
        <v>12</v>
      </c>
      <c r="G78" s="8">
        <f>D78/F78</f>
        <v>0</v>
      </c>
      <c r="H78" s="8">
        <f>1-G78</f>
        <v>1</v>
      </c>
    </row>
    <row r="79" spans="1:8" x14ac:dyDescent="0.3">
      <c r="A79" s="10" t="s">
        <v>364</v>
      </c>
      <c r="B79" s="8">
        <v>2</v>
      </c>
      <c r="C79" s="8">
        <v>1</v>
      </c>
      <c r="D79" s="8">
        <v>0</v>
      </c>
      <c r="E79" s="8">
        <f>IF(D79&gt;0,1,0)</f>
        <v>0</v>
      </c>
      <c r="F79" s="8">
        <f>B79+C79-D79</f>
        <v>3</v>
      </c>
      <c r="G79" s="8">
        <f>D79/F79</f>
        <v>0</v>
      </c>
      <c r="H79" s="8">
        <f>1-G79</f>
        <v>1</v>
      </c>
    </row>
    <row r="80" spans="1:8" x14ac:dyDescent="0.3">
      <c r="A80" s="10" t="s">
        <v>331</v>
      </c>
      <c r="B80" s="8">
        <v>2</v>
      </c>
      <c r="C80" s="8">
        <v>3</v>
      </c>
      <c r="D80" s="8">
        <v>0</v>
      </c>
      <c r="E80" s="8">
        <f>IF(D80&gt;0,1,0)</f>
        <v>0</v>
      </c>
      <c r="F80" s="8">
        <f>B80+C80-D80</f>
        <v>5</v>
      </c>
      <c r="G80" s="8">
        <f>D80/F80</f>
        <v>0</v>
      </c>
      <c r="H80" s="8">
        <f>1-G80</f>
        <v>1</v>
      </c>
    </row>
    <row r="81" spans="1:8" x14ac:dyDescent="0.3">
      <c r="A81" s="10" t="s">
        <v>326</v>
      </c>
      <c r="B81" s="8">
        <v>1</v>
      </c>
      <c r="C81" s="8">
        <v>0</v>
      </c>
      <c r="D81" s="8">
        <v>0</v>
      </c>
      <c r="E81" s="8">
        <f>IF(D81&gt;0,1,0)</f>
        <v>0</v>
      </c>
      <c r="F81" s="8">
        <f>B81+C81-D81</f>
        <v>1</v>
      </c>
      <c r="G81" s="8">
        <f>D81/F81</f>
        <v>0</v>
      </c>
      <c r="H81" s="8">
        <f>1-G81</f>
        <v>1</v>
      </c>
    </row>
    <row r="82" spans="1:8" x14ac:dyDescent="0.3">
      <c r="A82" s="10" t="s">
        <v>376</v>
      </c>
      <c r="B82" s="8">
        <v>7</v>
      </c>
      <c r="C82" s="8">
        <v>4</v>
      </c>
      <c r="D82" s="8">
        <v>0</v>
      </c>
      <c r="E82" s="8">
        <f>IF(D82&gt;0,1,0)</f>
        <v>0</v>
      </c>
      <c r="F82" s="8">
        <f>B82+C82-D82</f>
        <v>11</v>
      </c>
      <c r="G82" s="8">
        <f>D82/F82</f>
        <v>0</v>
      </c>
      <c r="H82" s="8">
        <f>1-G82</f>
        <v>1</v>
      </c>
    </row>
    <row r="83" spans="1:8" x14ac:dyDescent="0.3">
      <c r="A83" s="10" t="s">
        <v>322</v>
      </c>
      <c r="B83" s="8">
        <v>11</v>
      </c>
      <c r="C83" s="8">
        <v>0</v>
      </c>
      <c r="D83" s="8">
        <v>0</v>
      </c>
      <c r="E83" s="8">
        <f>IF(D83&gt;0,1,0)</f>
        <v>0</v>
      </c>
      <c r="F83" s="8">
        <f>B83+C83-D83</f>
        <v>11</v>
      </c>
      <c r="G83" s="8">
        <f>D83/F83</f>
        <v>0</v>
      </c>
      <c r="H83" s="8">
        <f>1-G83</f>
        <v>1</v>
      </c>
    </row>
    <row r="84" spans="1:8" x14ac:dyDescent="0.3">
      <c r="A84" s="10" t="s">
        <v>348</v>
      </c>
      <c r="B84" s="8">
        <v>1</v>
      </c>
      <c r="C84" s="8">
        <v>0</v>
      </c>
      <c r="D84" s="8">
        <v>0</v>
      </c>
      <c r="E84" s="8">
        <f>IF(D84&gt;0,1,0)</f>
        <v>0</v>
      </c>
      <c r="F84" s="8">
        <f>B84+C84-D84</f>
        <v>1</v>
      </c>
      <c r="G84" s="8">
        <f>D84/F84</f>
        <v>0</v>
      </c>
      <c r="H84" s="8">
        <f>1-G84</f>
        <v>1</v>
      </c>
    </row>
    <row r="85" spans="1:8" x14ac:dyDescent="0.3">
      <c r="A85" s="10" t="s">
        <v>382</v>
      </c>
      <c r="B85" s="8">
        <v>6</v>
      </c>
      <c r="C85" s="8">
        <v>4</v>
      </c>
      <c r="D85" s="8">
        <v>0</v>
      </c>
      <c r="E85" s="8">
        <f>IF(D85&gt;0,1,0)</f>
        <v>0</v>
      </c>
      <c r="F85" s="8">
        <f>B85+C85-D85</f>
        <v>10</v>
      </c>
      <c r="G85" s="8">
        <f>D85/F85</f>
        <v>0</v>
      </c>
      <c r="H85" s="8">
        <f>1-G85</f>
        <v>1</v>
      </c>
    </row>
    <row r="86" spans="1:8" x14ac:dyDescent="0.3">
      <c r="A86" s="2" t="s">
        <v>313</v>
      </c>
      <c r="B86" s="9">
        <v>1</v>
      </c>
      <c r="C86" s="9">
        <v>1</v>
      </c>
      <c r="D86" s="8">
        <v>0</v>
      </c>
      <c r="E86" s="8">
        <f>IF(D86&gt;0,1,0)</f>
        <v>0</v>
      </c>
      <c r="F86" s="8">
        <f>B86+C86-D86</f>
        <v>2</v>
      </c>
      <c r="G86" s="8">
        <f>D86/F86</f>
        <v>0</v>
      </c>
      <c r="H86" s="8">
        <f>1-G86</f>
        <v>1</v>
      </c>
    </row>
    <row r="87" spans="1:8" x14ac:dyDescent="0.3">
      <c r="A87" s="2" t="s">
        <v>311</v>
      </c>
      <c r="B87" s="9">
        <v>23</v>
      </c>
      <c r="C87" s="9">
        <v>1</v>
      </c>
      <c r="D87" s="8">
        <v>0</v>
      </c>
      <c r="E87" s="8">
        <f>IF(D87&gt;0,1,0)</f>
        <v>0</v>
      </c>
      <c r="F87" s="8">
        <f>B87+C87-D87</f>
        <v>24</v>
      </c>
      <c r="G87" s="8">
        <f>D87/F87</f>
        <v>0</v>
      </c>
      <c r="H87" s="8">
        <f>1-G87</f>
        <v>1</v>
      </c>
    </row>
    <row r="88" spans="1:8" x14ac:dyDescent="0.3">
      <c r="A88" s="2" t="s">
        <v>310</v>
      </c>
      <c r="B88" s="9">
        <v>1</v>
      </c>
      <c r="C88" s="9">
        <v>2</v>
      </c>
      <c r="D88" s="8">
        <v>0</v>
      </c>
      <c r="E88" s="8">
        <f>IF(D88&gt;0,1,0)</f>
        <v>0</v>
      </c>
      <c r="F88" s="8">
        <f>B88+C88-D88</f>
        <v>3</v>
      </c>
      <c r="G88" s="8">
        <f>D88/F88</f>
        <v>0</v>
      </c>
      <c r="H88" s="8">
        <f>1-G88</f>
        <v>1</v>
      </c>
    </row>
    <row r="89" spans="1:8" x14ac:dyDescent="0.3">
      <c r="A89" s="2" t="s">
        <v>309</v>
      </c>
      <c r="B89" s="9">
        <v>7</v>
      </c>
      <c r="C89" s="9">
        <v>3</v>
      </c>
      <c r="D89" s="8">
        <v>0</v>
      </c>
      <c r="E89" s="8">
        <f>IF(D89&gt;0,1,0)</f>
        <v>0</v>
      </c>
      <c r="F89" s="8">
        <f>B89+C89-D89</f>
        <v>10</v>
      </c>
      <c r="G89" s="8">
        <f>D89/F89</f>
        <v>0</v>
      </c>
      <c r="H89" s="8">
        <f>1-G89</f>
        <v>1</v>
      </c>
    </row>
    <row r="90" spans="1:8" x14ac:dyDescent="0.3">
      <c r="A90" s="2" t="s">
        <v>303</v>
      </c>
      <c r="B90" s="9">
        <v>2</v>
      </c>
      <c r="C90" s="9">
        <v>7</v>
      </c>
      <c r="D90" s="8">
        <v>0</v>
      </c>
      <c r="E90" s="8">
        <f>IF(D90&gt;0,1,0)</f>
        <v>0</v>
      </c>
      <c r="F90" s="8">
        <f>B90+C90-D90</f>
        <v>9</v>
      </c>
      <c r="G90" s="8">
        <f>D90/F90</f>
        <v>0</v>
      </c>
      <c r="H90" s="8">
        <f>1-G90</f>
        <v>1</v>
      </c>
    </row>
    <row r="91" spans="1:8" x14ac:dyDescent="0.3">
      <c r="A91" s="2" t="s">
        <v>299</v>
      </c>
      <c r="B91" s="9">
        <v>3</v>
      </c>
      <c r="C91" s="9">
        <v>13</v>
      </c>
      <c r="D91" s="8">
        <v>0</v>
      </c>
      <c r="E91" s="8">
        <f>IF(D91&gt;0,1,0)</f>
        <v>0</v>
      </c>
      <c r="F91" s="8">
        <f>B91+C91-D91</f>
        <v>16</v>
      </c>
      <c r="G91" s="8">
        <f>D91/F91</f>
        <v>0</v>
      </c>
      <c r="H91" s="8">
        <f>1-G91</f>
        <v>1</v>
      </c>
    </row>
    <row r="92" spans="1:8" x14ac:dyDescent="0.3">
      <c r="A92" s="2" t="s">
        <v>297</v>
      </c>
      <c r="B92" s="9">
        <v>2</v>
      </c>
      <c r="C92" s="9">
        <v>42</v>
      </c>
      <c r="D92" s="8">
        <v>0</v>
      </c>
      <c r="E92" s="8">
        <f>IF(D92&gt;0,1,0)</f>
        <v>0</v>
      </c>
      <c r="F92" s="8">
        <f>B92+C92-D92</f>
        <v>44</v>
      </c>
      <c r="G92" s="8">
        <f>D92/F92</f>
        <v>0</v>
      </c>
      <c r="H92" s="8">
        <f>1-G92</f>
        <v>1</v>
      </c>
    </row>
    <row r="93" spans="1:8" x14ac:dyDescent="0.3">
      <c r="A93" s="2" t="s">
        <v>296</v>
      </c>
      <c r="B93" s="9">
        <v>1</v>
      </c>
      <c r="C93" s="9">
        <v>42</v>
      </c>
      <c r="D93" s="8">
        <v>0</v>
      </c>
      <c r="E93" s="8">
        <f>IF(D93&gt;0,1,0)</f>
        <v>0</v>
      </c>
      <c r="F93" s="8">
        <f>B93+C93-D93</f>
        <v>43</v>
      </c>
      <c r="G93" s="8">
        <f>D93/F93</f>
        <v>0</v>
      </c>
      <c r="H93" s="8">
        <f>1-G93</f>
        <v>1</v>
      </c>
    </row>
    <row r="94" spans="1:8" x14ac:dyDescent="0.3">
      <c r="A94" s="2" t="s">
        <v>295</v>
      </c>
      <c r="B94" s="9">
        <v>0</v>
      </c>
      <c r="C94" s="9">
        <v>64</v>
      </c>
      <c r="D94" s="8">
        <v>0</v>
      </c>
      <c r="E94" s="8">
        <f>IF(D94&gt;0,1,0)</f>
        <v>0</v>
      </c>
      <c r="F94" s="8">
        <f>B94+C94-D94</f>
        <v>64</v>
      </c>
      <c r="G94" s="8">
        <f>D94/F94</f>
        <v>0</v>
      </c>
      <c r="H94" s="8">
        <f>1-G94</f>
        <v>1</v>
      </c>
    </row>
    <row r="95" spans="1:8" x14ac:dyDescent="0.3">
      <c r="A95" s="2" t="s">
        <v>294</v>
      </c>
      <c r="B95" s="9">
        <v>2</v>
      </c>
      <c r="C95" s="9">
        <v>71</v>
      </c>
      <c r="D95" s="8">
        <v>0</v>
      </c>
      <c r="E95" s="8">
        <f>IF(D95&gt;0,1,0)</f>
        <v>0</v>
      </c>
      <c r="F95" s="8">
        <f>B95+C95-D95</f>
        <v>73</v>
      </c>
      <c r="G95" s="8">
        <f>D95/F95</f>
        <v>0</v>
      </c>
      <c r="H95" s="8">
        <f>1-G95</f>
        <v>1</v>
      </c>
    </row>
    <row r="96" spans="1:8" x14ac:dyDescent="0.3">
      <c r="A96" s="2" t="s">
        <v>293</v>
      </c>
      <c r="B96" s="9">
        <v>10</v>
      </c>
      <c r="C96" s="9">
        <v>77</v>
      </c>
      <c r="D96" s="8">
        <v>0</v>
      </c>
      <c r="E96" s="8">
        <f>IF(D96&gt;0,1,0)</f>
        <v>0</v>
      </c>
      <c r="F96" s="8">
        <f>B96+C96-D96</f>
        <v>87</v>
      </c>
      <c r="G96" s="8">
        <f>D96/F96</f>
        <v>0</v>
      </c>
      <c r="H96" s="8">
        <f>1-G96</f>
        <v>1</v>
      </c>
    </row>
  </sheetData>
  <phoneticPr fontId="19" type="noConversion"/>
  <conditionalFormatting sqref="A1">
    <cfRule type="duplicateValues" dxfId="13" priority="1"/>
    <cfRule type="duplicateValues" dxfId="12" priority="2"/>
  </conditionalFormatting>
  <conditionalFormatting sqref="A2:A67">
    <cfRule type="duplicateValues" dxfId="11" priority="3"/>
  </conditionalFormatting>
  <conditionalFormatting sqref="A68:A96">
    <cfRule type="duplicateValues" dxfId="10" priority="4"/>
    <cfRule type="duplicateValues" dxfId="9" priority="5"/>
  </conditionalFormatting>
  <hyperlinks>
    <hyperlink ref="A54" r:id="rId1" xr:uid="{5C318BEE-0B29-4727-924C-E24DB5BB5B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06BC-F6FF-4630-8FE2-3BEAD6635E39}">
  <dimension ref="A1:L96"/>
  <sheetViews>
    <sheetView workbookViewId="0">
      <selection activeCell="F2" sqref="F2:F37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47</v>
      </c>
      <c r="C2" t="s">
        <v>48</v>
      </c>
      <c r="D2" t="s">
        <v>49</v>
      </c>
      <c r="E2" t="s">
        <v>50</v>
      </c>
      <c r="F2">
        <v>1</v>
      </c>
      <c r="G2">
        <v>3</v>
      </c>
      <c r="H2">
        <v>12</v>
      </c>
      <c r="I2">
        <v>1</v>
      </c>
      <c r="J2">
        <v>4</v>
      </c>
      <c r="K2">
        <v>0.33333333329999998</v>
      </c>
      <c r="L2">
        <v>0.5</v>
      </c>
    </row>
    <row r="3" spans="1:12" x14ac:dyDescent="0.3">
      <c r="A3" t="s">
        <v>12</v>
      </c>
      <c r="B3" t="s">
        <v>101</v>
      </c>
      <c r="C3" t="s">
        <v>14</v>
      </c>
      <c r="D3" t="s">
        <v>97</v>
      </c>
      <c r="E3" t="s">
        <v>102</v>
      </c>
      <c r="F3">
        <v>1</v>
      </c>
      <c r="G3">
        <v>557</v>
      </c>
      <c r="H3">
        <v>1388</v>
      </c>
      <c r="I3">
        <v>1</v>
      </c>
      <c r="J3">
        <v>4</v>
      </c>
      <c r="K3">
        <v>1.7953321360000001E-3</v>
      </c>
      <c r="L3">
        <v>3.5842293910000001E-3</v>
      </c>
    </row>
    <row r="4" spans="1:12" x14ac:dyDescent="0.3">
      <c r="A4" t="s">
        <v>12</v>
      </c>
      <c r="B4" t="s">
        <v>103</v>
      </c>
      <c r="C4" t="s">
        <v>44</v>
      </c>
      <c r="D4" t="s">
        <v>104</v>
      </c>
      <c r="E4" t="s">
        <v>105</v>
      </c>
      <c r="F4">
        <v>1</v>
      </c>
      <c r="G4">
        <v>12</v>
      </c>
      <c r="H4">
        <v>31</v>
      </c>
      <c r="I4">
        <v>3</v>
      </c>
      <c r="J4">
        <v>8</v>
      </c>
      <c r="K4">
        <v>0.25</v>
      </c>
      <c r="L4">
        <v>0.4</v>
      </c>
    </row>
    <row r="5" spans="1:12" x14ac:dyDescent="0.3">
      <c r="A5" t="s">
        <v>12</v>
      </c>
      <c r="B5" t="s">
        <v>117</v>
      </c>
      <c r="C5" t="s">
        <v>14</v>
      </c>
      <c r="D5" t="s">
        <v>118</v>
      </c>
      <c r="E5" t="s">
        <v>119</v>
      </c>
      <c r="F5">
        <v>1</v>
      </c>
      <c r="G5">
        <v>57</v>
      </c>
      <c r="H5">
        <v>142</v>
      </c>
      <c r="I5">
        <v>5</v>
      </c>
      <c r="J5">
        <v>12</v>
      </c>
      <c r="K5">
        <v>8.7719298249999994E-2</v>
      </c>
      <c r="L5">
        <v>0.16129032260000001</v>
      </c>
    </row>
    <row r="6" spans="1:12" x14ac:dyDescent="0.3">
      <c r="A6" t="s">
        <v>12</v>
      </c>
      <c r="B6" t="s">
        <v>142</v>
      </c>
      <c r="C6" t="s">
        <v>143</v>
      </c>
      <c r="D6" t="s">
        <v>144</v>
      </c>
      <c r="E6" t="s">
        <v>145</v>
      </c>
      <c r="F6">
        <v>1</v>
      </c>
      <c r="G6">
        <v>13</v>
      </c>
      <c r="H6">
        <v>24</v>
      </c>
      <c r="I6">
        <v>1</v>
      </c>
      <c r="J6">
        <v>1</v>
      </c>
      <c r="K6">
        <v>7.692307692E-2</v>
      </c>
      <c r="L6">
        <v>0.14285714290000001</v>
      </c>
    </row>
    <row r="7" spans="1:12" x14ac:dyDescent="0.3">
      <c r="A7" t="s">
        <v>12</v>
      </c>
      <c r="B7" t="s">
        <v>177</v>
      </c>
      <c r="C7" t="s">
        <v>44</v>
      </c>
      <c r="D7" t="s">
        <v>178</v>
      </c>
      <c r="E7" t="s">
        <v>179</v>
      </c>
      <c r="F7">
        <v>1</v>
      </c>
      <c r="G7">
        <v>90</v>
      </c>
      <c r="H7">
        <v>182</v>
      </c>
      <c r="I7">
        <v>1</v>
      </c>
      <c r="J7">
        <v>3</v>
      </c>
      <c r="K7">
        <v>1.111111111E-2</v>
      </c>
      <c r="L7">
        <v>2.1978021980000002E-2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>
        <v>1</v>
      </c>
      <c r="G8">
        <v>18</v>
      </c>
      <c r="H8">
        <v>56</v>
      </c>
      <c r="I8">
        <v>2</v>
      </c>
      <c r="J8">
        <v>8</v>
      </c>
      <c r="K8">
        <v>0.11111111110000001</v>
      </c>
      <c r="L8">
        <v>0.2</v>
      </c>
    </row>
    <row r="9" spans="1:12" x14ac:dyDescent="0.3">
      <c r="A9" t="s">
        <v>12</v>
      </c>
      <c r="B9" t="s">
        <v>79</v>
      </c>
      <c r="C9" t="s">
        <v>80</v>
      </c>
      <c r="D9" t="s">
        <v>81</v>
      </c>
      <c r="E9" t="s">
        <v>82</v>
      </c>
      <c r="F9">
        <v>1</v>
      </c>
      <c r="G9">
        <v>30</v>
      </c>
      <c r="H9">
        <v>93</v>
      </c>
      <c r="I9">
        <v>1</v>
      </c>
      <c r="J9">
        <v>1</v>
      </c>
      <c r="K9">
        <v>3.3333333329999999E-2</v>
      </c>
      <c r="L9">
        <v>6.4516129029999994E-2</v>
      </c>
    </row>
    <row r="10" spans="1:12" x14ac:dyDescent="0.3">
      <c r="A10" t="s">
        <v>12</v>
      </c>
      <c r="B10" t="s">
        <v>65</v>
      </c>
      <c r="C10" t="s">
        <v>52</v>
      </c>
      <c r="D10" t="s">
        <v>66</v>
      </c>
      <c r="E10">
        <v>3.5</v>
      </c>
      <c r="F10">
        <v>1</v>
      </c>
      <c r="G10">
        <v>8</v>
      </c>
      <c r="H10">
        <v>17</v>
      </c>
      <c r="I10">
        <v>1</v>
      </c>
      <c r="J10">
        <v>3</v>
      </c>
      <c r="K10">
        <v>0.125</v>
      </c>
      <c r="L10">
        <v>0.22222222220000001</v>
      </c>
    </row>
    <row r="11" spans="1:12" x14ac:dyDescent="0.3">
      <c r="A11" t="s">
        <v>12</v>
      </c>
      <c r="B11" t="s">
        <v>67</v>
      </c>
      <c r="C11" t="s">
        <v>68</v>
      </c>
      <c r="D11" t="s">
        <v>69</v>
      </c>
      <c r="E11">
        <v>1.1200000000000001</v>
      </c>
      <c r="F11">
        <v>1</v>
      </c>
      <c r="G11">
        <v>18</v>
      </c>
      <c r="H11">
        <v>46</v>
      </c>
      <c r="I11">
        <v>1</v>
      </c>
      <c r="J11">
        <v>4</v>
      </c>
      <c r="K11">
        <v>5.5555555559999997E-2</v>
      </c>
      <c r="L11">
        <v>0.1052631579</v>
      </c>
    </row>
    <row r="12" spans="1:12" x14ac:dyDescent="0.3">
      <c r="A12" t="s">
        <v>12</v>
      </c>
      <c r="B12" t="s">
        <v>217</v>
      </c>
      <c r="C12" t="s">
        <v>38</v>
      </c>
      <c r="D12" t="s">
        <v>38</v>
      </c>
      <c r="E12">
        <v>5.0999999999999996</v>
      </c>
      <c r="F12">
        <v>1</v>
      </c>
      <c r="G12">
        <v>85</v>
      </c>
      <c r="H12">
        <v>198</v>
      </c>
      <c r="I12">
        <v>26</v>
      </c>
      <c r="J12">
        <v>39</v>
      </c>
      <c r="K12">
        <v>0.30588235289999999</v>
      </c>
      <c r="L12">
        <v>0.46846846850000001</v>
      </c>
    </row>
    <row r="13" spans="1:12" x14ac:dyDescent="0.3">
      <c r="A13" t="s">
        <v>12</v>
      </c>
      <c r="B13" t="s">
        <v>216</v>
      </c>
      <c r="C13" t="s">
        <v>38</v>
      </c>
      <c r="D13" t="s">
        <v>38</v>
      </c>
      <c r="E13">
        <v>5.0999999999999996</v>
      </c>
      <c r="F13">
        <v>1</v>
      </c>
      <c r="G13">
        <v>85</v>
      </c>
      <c r="H13">
        <v>198</v>
      </c>
      <c r="I13">
        <v>1</v>
      </c>
      <c r="J13">
        <v>2</v>
      </c>
      <c r="K13">
        <v>1.176470588E-2</v>
      </c>
      <c r="L13">
        <v>2.3255813949999999E-2</v>
      </c>
    </row>
    <row r="14" spans="1:12" x14ac:dyDescent="0.3">
      <c r="A14" t="s">
        <v>12</v>
      </c>
      <c r="B14" t="s">
        <v>200</v>
      </c>
      <c r="C14" t="s">
        <v>201</v>
      </c>
      <c r="D14" t="s">
        <v>202</v>
      </c>
      <c r="E14" t="s">
        <v>203</v>
      </c>
      <c r="F14">
        <v>1</v>
      </c>
      <c r="G14">
        <v>18</v>
      </c>
      <c r="H14">
        <v>49</v>
      </c>
      <c r="I14">
        <v>1</v>
      </c>
      <c r="J14">
        <v>2</v>
      </c>
      <c r="K14">
        <v>5.5555555559999997E-2</v>
      </c>
      <c r="L14">
        <v>0.1052631579</v>
      </c>
    </row>
    <row r="15" spans="1:12" x14ac:dyDescent="0.3">
      <c r="A15" t="s">
        <v>12</v>
      </c>
      <c r="B15" t="s">
        <v>229</v>
      </c>
      <c r="C15" t="s">
        <v>230</v>
      </c>
      <c r="D15" t="s">
        <v>231</v>
      </c>
      <c r="E15">
        <v>7.5</v>
      </c>
      <c r="F15">
        <v>1</v>
      </c>
      <c r="G15">
        <v>41</v>
      </c>
      <c r="H15">
        <v>57</v>
      </c>
      <c r="I15">
        <v>5</v>
      </c>
      <c r="J15">
        <v>5</v>
      </c>
      <c r="K15">
        <v>0.1219512195</v>
      </c>
      <c r="L15">
        <v>0.2173913043</v>
      </c>
    </row>
    <row r="16" spans="1:12" x14ac:dyDescent="0.3">
      <c r="A16" t="s">
        <v>12</v>
      </c>
      <c r="B16" t="s">
        <v>218</v>
      </c>
      <c r="C16" t="s">
        <v>14</v>
      </c>
      <c r="D16" t="s">
        <v>219</v>
      </c>
      <c r="E16" t="s">
        <v>220</v>
      </c>
      <c r="F16">
        <v>1</v>
      </c>
      <c r="G16">
        <v>96</v>
      </c>
      <c r="H16">
        <v>248</v>
      </c>
      <c r="I16">
        <v>2</v>
      </c>
      <c r="J16">
        <v>3</v>
      </c>
      <c r="K16">
        <v>2.0833333329999999E-2</v>
      </c>
      <c r="L16">
        <v>4.0816326530000002E-2</v>
      </c>
    </row>
    <row r="17" spans="1:12" x14ac:dyDescent="0.3">
      <c r="A17" t="s">
        <v>12</v>
      </c>
      <c r="B17" t="s">
        <v>227</v>
      </c>
      <c r="C17" t="s">
        <v>27</v>
      </c>
      <c r="D17" t="s">
        <v>27</v>
      </c>
      <c r="E17" t="s">
        <v>228</v>
      </c>
      <c r="F17">
        <v>1</v>
      </c>
      <c r="G17">
        <v>879</v>
      </c>
      <c r="H17">
        <v>1776</v>
      </c>
      <c r="I17">
        <v>14</v>
      </c>
      <c r="J17">
        <v>18</v>
      </c>
      <c r="K17">
        <v>1.592718999E-2</v>
      </c>
      <c r="L17">
        <v>3.1354983199999999E-2</v>
      </c>
    </row>
    <row r="18" spans="1:12" x14ac:dyDescent="0.3">
      <c r="A18" t="s">
        <v>12</v>
      </c>
      <c r="B18" t="s">
        <v>268</v>
      </c>
      <c r="C18" t="s">
        <v>14</v>
      </c>
      <c r="D18" t="s">
        <v>269</v>
      </c>
      <c r="E18" t="s">
        <v>270</v>
      </c>
      <c r="F18">
        <v>1</v>
      </c>
      <c r="G18">
        <v>28</v>
      </c>
      <c r="H18">
        <v>74</v>
      </c>
      <c r="I18">
        <v>6</v>
      </c>
      <c r="J18">
        <v>17</v>
      </c>
      <c r="K18">
        <v>0.21428571430000001</v>
      </c>
      <c r="L18">
        <v>0.35294117650000001</v>
      </c>
    </row>
    <row r="19" spans="1:12" x14ac:dyDescent="0.3">
      <c r="A19" t="s">
        <v>12</v>
      </c>
      <c r="B19" t="s">
        <v>233</v>
      </c>
      <c r="C19" t="s">
        <v>52</v>
      </c>
      <c r="D19" t="s">
        <v>53</v>
      </c>
      <c r="E19" t="s">
        <v>234</v>
      </c>
      <c r="F19">
        <v>1</v>
      </c>
      <c r="G19">
        <v>10</v>
      </c>
      <c r="H19">
        <v>29</v>
      </c>
      <c r="I19">
        <v>1</v>
      </c>
      <c r="J19">
        <v>3</v>
      </c>
      <c r="K19">
        <v>0.1</v>
      </c>
      <c r="L19">
        <v>0.18181818180000001</v>
      </c>
    </row>
    <row r="20" spans="1:12" x14ac:dyDescent="0.3">
      <c r="A20" t="s">
        <v>17</v>
      </c>
      <c r="B20" t="s">
        <v>51</v>
      </c>
      <c r="C20" t="s">
        <v>52</v>
      </c>
      <c r="D20" t="s">
        <v>53</v>
      </c>
      <c r="E20" t="s">
        <v>54</v>
      </c>
      <c r="F20">
        <v>1</v>
      </c>
      <c r="G20">
        <v>10</v>
      </c>
      <c r="H20">
        <v>18</v>
      </c>
      <c r="I20">
        <v>2</v>
      </c>
      <c r="J20">
        <v>8</v>
      </c>
      <c r="K20">
        <v>0.2</v>
      </c>
      <c r="L20">
        <v>0.33333333329999998</v>
      </c>
    </row>
    <row r="21" spans="1:12" x14ac:dyDescent="0.3">
      <c r="A21" t="s">
        <v>25</v>
      </c>
      <c r="B21" t="s">
        <v>55</v>
      </c>
      <c r="C21" t="s">
        <v>34</v>
      </c>
      <c r="D21" t="s">
        <v>35</v>
      </c>
      <c r="E21" t="s">
        <v>56</v>
      </c>
      <c r="F21">
        <v>1</v>
      </c>
      <c r="G21">
        <v>20</v>
      </c>
      <c r="H21">
        <v>33</v>
      </c>
      <c r="I21">
        <v>3</v>
      </c>
      <c r="J21">
        <v>8</v>
      </c>
      <c r="K21">
        <v>0.15</v>
      </c>
      <c r="L21">
        <v>0.26086956519999999</v>
      </c>
    </row>
    <row r="22" spans="1:12" x14ac:dyDescent="0.3">
      <c r="A22" t="s">
        <v>25</v>
      </c>
      <c r="B22" t="s">
        <v>112</v>
      </c>
      <c r="C22" t="s">
        <v>14</v>
      </c>
      <c r="D22" t="s">
        <v>109</v>
      </c>
      <c r="E22" t="s">
        <v>110</v>
      </c>
      <c r="F22">
        <v>1</v>
      </c>
      <c r="G22">
        <v>156</v>
      </c>
      <c r="H22">
        <v>137</v>
      </c>
      <c r="I22">
        <v>1</v>
      </c>
      <c r="J22">
        <v>1</v>
      </c>
      <c r="K22">
        <v>6.4102564099999997E-3</v>
      </c>
      <c r="L22">
        <v>1.2738853499999999E-2</v>
      </c>
    </row>
    <row r="23" spans="1:12" x14ac:dyDescent="0.3">
      <c r="A23" t="s">
        <v>25</v>
      </c>
      <c r="B23" t="s">
        <v>192</v>
      </c>
      <c r="C23" t="s">
        <v>189</v>
      </c>
      <c r="D23" t="s">
        <v>190</v>
      </c>
      <c r="E23" t="s">
        <v>191</v>
      </c>
      <c r="F23">
        <v>1</v>
      </c>
      <c r="G23">
        <v>36</v>
      </c>
      <c r="H23">
        <v>92</v>
      </c>
      <c r="I23">
        <v>9</v>
      </c>
      <c r="J23">
        <v>35</v>
      </c>
      <c r="K23">
        <v>0.25</v>
      </c>
      <c r="L23">
        <v>0.4</v>
      </c>
    </row>
    <row r="24" spans="1:12" x14ac:dyDescent="0.3">
      <c r="A24" t="s">
        <v>25</v>
      </c>
      <c r="B24" t="s">
        <v>43</v>
      </c>
      <c r="C24" t="s">
        <v>44</v>
      </c>
      <c r="D24" t="s">
        <v>45</v>
      </c>
      <c r="E24" t="s">
        <v>46</v>
      </c>
      <c r="F24">
        <v>1</v>
      </c>
      <c r="G24">
        <v>1541</v>
      </c>
      <c r="H24">
        <v>2057</v>
      </c>
      <c r="I24">
        <v>7</v>
      </c>
      <c r="J24">
        <v>14</v>
      </c>
      <c r="K24">
        <v>4.5425048669999997E-3</v>
      </c>
      <c r="L24">
        <v>9.0439276489999998E-3</v>
      </c>
    </row>
    <row r="25" spans="1:12" x14ac:dyDescent="0.3">
      <c r="A25" t="s">
        <v>25</v>
      </c>
      <c r="B25" t="s">
        <v>232</v>
      </c>
      <c r="C25" t="s">
        <v>27</v>
      </c>
      <c r="D25" t="s">
        <v>27</v>
      </c>
      <c r="E25" t="s">
        <v>176</v>
      </c>
      <c r="F25">
        <v>1</v>
      </c>
      <c r="G25">
        <v>1632</v>
      </c>
      <c r="H25">
        <v>1603</v>
      </c>
      <c r="I25">
        <v>5</v>
      </c>
      <c r="J25">
        <v>7</v>
      </c>
      <c r="K25">
        <v>3.06372549E-3</v>
      </c>
      <c r="L25">
        <v>6.1087354920000003E-3</v>
      </c>
    </row>
    <row r="26" spans="1:12" x14ac:dyDescent="0.3">
      <c r="A26" t="s">
        <v>25</v>
      </c>
      <c r="B26" t="s">
        <v>175</v>
      </c>
      <c r="C26" t="s">
        <v>27</v>
      </c>
      <c r="D26" t="s">
        <v>27</v>
      </c>
      <c r="E26" t="s">
        <v>176</v>
      </c>
      <c r="F26">
        <v>1</v>
      </c>
      <c r="G26">
        <v>1763</v>
      </c>
      <c r="H26">
        <v>1709</v>
      </c>
      <c r="I26">
        <v>21</v>
      </c>
      <c r="J26">
        <v>22</v>
      </c>
      <c r="K26">
        <v>1.191151446E-2</v>
      </c>
      <c r="L26">
        <v>2.3542600899999998E-2</v>
      </c>
    </row>
    <row r="27" spans="1:12" x14ac:dyDescent="0.3">
      <c r="A27" t="s">
        <v>25</v>
      </c>
      <c r="B27" t="s">
        <v>242</v>
      </c>
      <c r="C27" t="s">
        <v>14</v>
      </c>
      <c r="D27" t="s">
        <v>109</v>
      </c>
      <c r="E27" t="s">
        <v>243</v>
      </c>
      <c r="F27">
        <v>1</v>
      </c>
      <c r="G27">
        <v>225</v>
      </c>
      <c r="H27">
        <v>268</v>
      </c>
      <c r="I27">
        <v>25</v>
      </c>
      <c r="J27">
        <v>34</v>
      </c>
      <c r="K27">
        <v>0.11111111110000001</v>
      </c>
      <c r="L27">
        <v>0.2</v>
      </c>
    </row>
    <row r="28" spans="1:12" x14ac:dyDescent="0.3">
      <c r="A28" t="s">
        <v>25</v>
      </c>
      <c r="B28" t="s">
        <v>237</v>
      </c>
      <c r="C28" t="s">
        <v>27</v>
      </c>
      <c r="D28" t="s">
        <v>27</v>
      </c>
      <c r="E28" t="s">
        <v>238</v>
      </c>
      <c r="F28">
        <v>1</v>
      </c>
      <c r="G28">
        <v>2323</v>
      </c>
      <c r="H28">
        <v>2525</v>
      </c>
      <c r="I28">
        <v>15</v>
      </c>
      <c r="J28">
        <v>15</v>
      </c>
      <c r="K28">
        <v>6.4571674559999997E-3</v>
      </c>
      <c r="L28">
        <v>1.28314799E-2</v>
      </c>
    </row>
    <row r="29" spans="1:12" x14ac:dyDescent="0.3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>
        <v>1</v>
      </c>
      <c r="G29">
        <v>58</v>
      </c>
      <c r="H29">
        <v>131</v>
      </c>
      <c r="I29">
        <v>1</v>
      </c>
      <c r="J29">
        <v>2</v>
      </c>
      <c r="K29">
        <v>1.7241379309999999E-2</v>
      </c>
      <c r="L29">
        <v>3.3898305080000003E-2</v>
      </c>
    </row>
    <row r="30" spans="1:12" x14ac:dyDescent="0.3">
      <c r="A30" t="s">
        <v>87</v>
      </c>
      <c r="B30" t="s">
        <v>106</v>
      </c>
      <c r="C30" t="s">
        <v>14</v>
      </c>
      <c r="D30" t="s">
        <v>23</v>
      </c>
      <c r="E30" t="s">
        <v>107</v>
      </c>
      <c r="F30">
        <v>1</v>
      </c>
      <c r="G30">
        <v>243</v>
      </c>
      <c r="H30">
        <v>380</v>
      </c>
      <c r="I30">
        <v>2</v>
      </c>
      <c r="J30">
        <v>3</v>
      </c>
      <c r="K30">
        <v>8.2304526749999996E-3</v>
      </c>
      <c r="L30">
        <v>1.6326530610000001E-2</v>
      </c>
    </row>
    <row r="31" spans="1:12" x14ac:dyDescent="0.3">
      <c r="A31" t="s">
        <v>87</v>
      </c>
      <c r="B31" t="s">
        <v>164</v>
      </c>
      <c r="C31" t="s">
        <v>165</v>
      </c>
      <c r="D31" t="s">
        <v>166</v>
      </c>
      <c r="E31" t="s">
        <v>167</v>
      </c>
      <c r="F31">
        <v>1</v>
      </c>
      <c r="G31">
        <v>9</v>
      </c>
      <c r="H31">
        <v>28</v>
      </c>
      <c r="I31">
        <v>9</v>
      </c>
      <c r="J31">
        <v>18</v>
      </c>
      <c r="K31">
        <v>1</v>
      </c>
      <c r="L31">
        <v>1</v>
      </c>
    </row>
    <row r="32" spans="1:12" x14ac:dyDescent="0.3">
      <c r="A32" t="s">
        <v>87</v>
      </c>
      <c r="B32" t="s">
        <v>133</v>
      </c>
      <c r="C32" t="s">
        <v>14</v>
      </c>
      <c r="D32" t="s">
        <v>134</v>
      </c>
      <c r="E32" t="s">
        <v>135</v>
      </c>
      <c r="F32">
        <v>1</v>
      </c>
      <c r="G32">
        <v>1249</v>
      </c>
      <c r="H32">
        <v>2952</v>
      </c>
      <c r="I32">
        <v>1</v>
      </c>
      <c r="J32">
        <v>3</v>
      </c>
      <c r="K32">
        <v>8.0064051239999996E-4</v>
      </c>
      <c r="L32">
        <v>1.6000000000000001E-3</v>
      </c>
    </row>
    <row r="33" spans="1:12" x14ac:dyDescent="0.3">
      <c r="A33" t="s">
        <v>87</v>
      </c>
      <c r="B33" t="s">
        <v>124</v>
      </c>
      <c r="C33" t="s">
        <v>14</v>
      </c>
      <c r="D33" t="s">
        <v>23</v>
      </c>
      <c r="E33" t="s">
        <v>125</v>
      </c>
      <c r="F33">
        <v>1</v>
      </c>
      <c r="G33">
        <v>467</v>
      </c>
      <c r="H33">
        <v>689</v>
      </c>
      <c r="I33">
        <v>5</v>
      </c>
      <c r="J33">
        <v>5</v>
      </c>
      <c r="K33">
        <v>1.070663812E-2</v>
      </c>
      <c r="L33">
        <v>2.1186440680000002E-2</v>
      </c>
    </row>
    <row r="34" spans="1:12" x14ac:dyDescent="0.3">
      <c r="A34" t="s">
        <v>87</v>
      </c>
      <c r="B34" t="s">
        <v>158</v>
      </c>
      <c r="C34" t="s">
        <v>14</v>
      </c>
      <c r="D34" t="s">
        <v>159</v>
      </c>
      <c r="E34" t="s">
        <v>160</v>
      </c>
      <c r="F34">
        <v>1</v>
      </c>
      <c r="G34">
        <v>534</v>
      </c>
      <c r="H34">
        <v>1470</v>
      </c>
      <c r="I34">
        <v>4</v>
      </c>
      <c r="J34">
        <v>16</v>
      </c>
      <c r="K34">
        <v>7.490636704E-3</v>
      </c>
      <c r="L34">
        <v>1.4869888479999999E-2</v>
      </c>
    </row>
    <row r="35" spans="1:12" x14ac:dyDescent="0.3">
      <c r="A35" t="s">
        <v>87</v>
      </c>
      <c r="B35" t="s">
        <v>253</v>
      </c>
      <c r="C35" t="s">
        <v>254</v>
      </c>
      <c r="D35" t="s">
        <v>255</v>
      </c>
      <c r="E35" t="s">
        <v>256</v>
      </c>
      <c r="F35">
        <v>1</v>
      </c>
      <c r="G35">
        <v>7</v>
      </c>
      <c r="H35">
        <v>19</v>
      </c>
      <c r="I35">
        <v>7</v>
      </c>
      <c r="J35">
        <v>19</v>
      </c>
      <c r="K35">
        <v>1</v>
      </c>
      <c r="L35">
        <v>1</v>
      </c>
    </row>
    <row r="36" spans="1:12" x14ac:dyDescent="0.3">
      <c r="A36" t="s">
        <v>87</v>
      </c>
      <c r="B36" t="s">
        <v>257</v>
      </c>
      <c r="C36" t="s">
        <v>14</v>
      </c>
      <c r="D36" t="s">
        <v>118</v>
      </c>
      <c r="E36" t="s">
        <v>258</v>
      </c>
      <c r="F36">
        <v>1</v>
      </c>
      <c r="G36">
        <v>831</v>
      </c>
      <c r="H36">
        <v>1935</v>
      </c>
      <c r="I36">
        <v>1</v>
      </c>
      <c r="J36">
        <v>1</v>
      </c>
      <c r="K36">
        <v>1.2033694339999999E-3</v>
      </c>
      <c r="L36">
        <v>2.4038461540000001E-3</v>
      </c>
    </row>
    <row r="37" spans="1:12" x14ac:dyDescent="0.3">
      <c r="A37" t="s">
        <v>87</v>
      </c>
      <c r="B37" t="s">
        <v>283</v>
      </c>
      <c r="C37" t="s">
        <v>14</v>
      </c>
      <c r="D37" t="s">
        <v>205</v>
      </c>
      <c r="E37" t="s">
        <v>284</v>
      </c>
      <c r="F37">
        <v>1</v>
      </c>
      <c r="G37">
        <v>596</v>
      </c>
      <c r="H37">
        <v>1100</v>
      </c>
      <c r="I37">
        <v>4</v>
      </c>
      <c r="J37">
        <v>7</v>
      </c>
      <c r="K37">
        <v>6.7114093959999999E-3</v>
      </c>
      <c r="L37">
        <v>1.3333333330000001E-2</v>
      </c>
    </row>
    <row r="38" spans="1:12" x14ac:dyDescent="0.3">
      <c r="A38" t="s">
        <v>12</v>
      </c>
      <c r="B38" t="s">
        <v>37</v>
      </c>
      <c r="C38" t="s">
        <v>38</v>
      </c>
      <c r="D38" t="s">
        <v>38</v>
      </c>
      <c r="E38">
        <v>4.4000000000000004</v>
      </c>
      <c r="F38">
        <v>0</v>
      </c>
      <c r="G38">
        <v>46</v>
      </c>
      <c r="H38">
        <v>101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12</v>
      </c>
      <c r="B39" t="s">
        <v>99</v>
      </c>
      <c r="C39" t="s">
        <v>48</v>
      </c>
      <c r="D39" t="s">
        <v>49</v>
      </c>
      <c r="E39" t="s">
        <v>100</v>
      </c>
      <c r="F39">
        <v>0</v>
      </c>
      <c r="G39">
        <v>1</v>
      </c>
      <c r="H39">
        <v>4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12</v>
      </c>
      <c r="B40" t="s">
        <v>74</v>
      </c>
      <c r="C40" t="s">
        <v>75</v>
      </c>
      <c r="D40" t="s">
        <v>75</v>
      </c>
      <c r="E40" t="s">
        <v>76</v>
      </c>
      <c r="F40">
        <v>0</v>
      </c>
      <c r="G40">
        <v>116</v>
      </c>
      <c r="H40">
        <v>221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12</v>
      </c>
      <c r="B41" t="s">
        <v>83</v>
      </c>
      <c r="C41" t="s">
        <v>84</v>
      </c>
      <c r="D41" t="s">
        <v>85</v>
      </c>
      <c r="E41" t="s">
        <v>86</v>
      </c>
      <c r="F41">
        <v>0</v>
      </c>
      <c r="G41">
        <v>16</v>
      </c>
      <c r="H41">
        <v>38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12</v>
      </c>
      <c r="B42" t="s">
        <v>96</v>
      </c>
      <c r="C42" t="s">
        <v>14</v>
      </c>
      <c r="D42" t="s">
        <v>97</v>
      </c>
      <c r="E42" t="s">
        <v>98</v>
      </c>
      <c r="F42">
        <v>0</v>
      </c>
      <c r="G42">
        <v>48</v>
      </c>
      <c r="H42">
        <v>189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12</v>
      </c>
      <c r="B43" t="s">
        <v>92</v>
      </c>
      <c r="C43" t="s">
        <v>93</v>
      </c>
      <c r="D43" t="s">
        <v>94</v>
      </c>
      <c r="E43" t="s">
        <v>95</v>
      </c>
      <c r="F43">
        <v>0</v>
      </c>
      <c r="G43">
        <v>94</v>
      </c>
      <c r="H43">
        <v>228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12</v>
      </c>
      <c r="B44" t="s">
        <v>77</v>
      </c>
      <c r="C44" t="s">
        <v>14</v>
      </c>
      <c r="D44" t="s">
        <v>78</v>
      </c>
      <c r="E44">
        <v>1.18</v>
      </c>
      <c r="F44">
        <v>0</v>
      </c>
      <c r="G44">
        <v>87</v>
      </c>
      <c r="H44">
        <v>268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12</v>
      </c>
      <c r="B45" t="s">
        <v>61</v>
      </c>
      <c r="C45" t="s">
        <v>62</v>
      </c>
      <c r="D45" t="s">
        <v>63</v>
      </c>
      <c r="E45" t="s">
        <v>64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42</v>
      </c>
      <c r="L45">
        <v>0</v>
      </c>
    </row>
    <row r="46" spans="1:12" x14ac:dyDescent="0.3">
      <c r="A46" t="s">
        <v>12</v>
      </c>
      <c r="B46" t="s">
        <v>146</v>
      </c>
      <c r="C46" t="s">
        <v>147</v>
      </c>
      <c r="D46" t="s">
        <v>148</v>
      </c>
      <c r="E46" t="s">
        <v>149</v>
      </c>
      <c r="F46">
        <v>0</v>
      </c>
      <c r="G46">
        <v>12</v>
      </c>
      <c r="H46">
        <v>38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12</v>
      </c>
      <c r="B47" t="s">
        <v>130</v>
      </c>
      <c r="C47" t="s">
        <v>14</v>
      </c>
      <c r="D47" t="s">
        <v>131</v>
      </c>
      <c r="E47" t="s">
        <v>132</v>
      </c>
      <c r="F47">
        <v>0</v>
      </c>
      <c r="G47">
        <v>650</v>
      </c>
      <c r="H47">
        <v>1172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12</v>
      </c>
      <c r="B48" t="s">
        <v>150</v>
      </c>
      <c r="C48" t="s">
        <v>151</v>
      </c>
      <c r="D48" t="s">
        <v>152</v>
      </c>
      <c r="E48" t="s">
        <v>153</v>
      </c>
      <c r="F48">
        <v>0</v>
      </c>
      <c r="G48">
        <v>9</v>
      </c>
      <c r="H48">
        <v>9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12</v>
      </c>
      <c r="B49" t="s">
        <v>156</v>
      </c>
      <c r="C49" t="s">
        <v>44</v>
      </c>
      <c r="D49" t="s">
        <v>157</v>
      </c>
      <c r="E49">
        <v>2.6</v>
      </c>
      <c r="F49">
        <v>0</v>
      </c>
      <c r="G49">
        <v>23</v>
      </c>
      <c r="H49">
        <v>64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12</v>
      </c>
      <c r="B50" t="s">
        <v>122</v>
      </c>
      <c r="C50" t="s">
        <v>84</v>
      </c>
      <c r="D50" t="s">
        <v>85</v>
      </c>
      <c r="E50" t="s">
        <v>123</v>
      </c>
      <c r="F50">
        <v>0</v>
      </c>
      <c r="G50">
        <v>12</v>
      </c>
      <c r="H50">
        <v>32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12</v>
      </c>
      <c r="B51" t="s">
        <v>188</v>
      </c>
      <c r="C51" t="s">
        <v>189</v>
      </c>
      <c r="D51" t="s">
        <v>190</v>
      </c>
      <c r="E51" t="s">
        <v>191</v>
      </c>
      <c r="F51">
        <v>0</v>
      </c>
      <c r="G51">
        <v>31</v>
      </c>
      <c r="H51">
        <v>108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12</v>
      </c>
      <c r="B52" t="s">
        <v>193</v>
      </c>
      <c r="C52" t="s">
        <v>194</v>
      </c>
      <c r="D52" t="s">
        <v>195</v>
      </c>
      <c r="E52" t="s">
        <v>196</v>
      </c>
      <c r="F52">
        <v>0</v>
      </c>
      <c r="G52">
        <v>67</v>
      </c>
      <c r="H52">
        <v>19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12</v>
      </c>
      <c r="B53" t="s">
        <v>70</v>
      </c>
      <c r="C53" t="s">
        <v>71</v>
      </c>
      <c r="D53" t="s">
        <v>72</v>
      </c>
      <c r="E53" t="s">
        <v>73</v>
      </c>
      <c r="F53">
        <v>0</v>
      </c>
      <c r="G53">
        <v>6</v>
      </c>
      <c r="H53">
        <v>23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12</v>
      </c>
      <c r="B54" t="s">
        <v>197</v>
      </c>
      <c r="C54" t="s">
        <v>172</v>
      </c>
      <c r="D54" t="s">
        <v>198</v>
      </c>
      <c r="E54" t="s">
        <v>199</v>
      </c>
      <c r="F54">
        <v>0</v>
      </c>
      <c r="G54">
        <v>5</v>
      </c>
      <c r="H54">
        <v>14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12</v>
      </c>
      <c r="B55" t="s">
        <v>29</v>
      </c>
      <c r="C55" t="s">
        <v>30</v>
      </c>
      <c r="D55" t="s">
        <v>31</v>
      </c>
      <c r="E55" t="s">
        <v>32</v>
      </c>
      <c r="F55">
        <v>0</v>
      </c>
      <c r="G55">
        <v>24</v>
      </c>
      <c r="H55">
        <v>80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12</v>
      </c>
      <c r="B56" t="s">
        <v>184</v>
      </c>
      <c r="C56" t="s">
        <v>185</v>
      </c>
      <c r="D56" t="s">
        <v>186</v>
      </c>
      <c r="E56" t="s">
        <v>187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42</v>
      </c>
      <c r="L56">
        <v>0</v>
      </c>
    </row>
    <row r="57" spans="1:12" x14ac:dyDescent="0.3">
      <c r="A57" t="s">
        <v>12</v>
      </c>
      <c r="B57" t="s">
        <v>211</v>
      </c>
      <c r="C57" t="s">
        <v>212</v>
      </c>
      <c r="D57" t="s">
        <v>213</v>
      </c>
      <c r="E57" t="s">
        <v>214</v>
      </c>
      <c r="F57">
        <v>0</v>
      </c>
      <c r="G57">
        <v>37</v>
      </c>
      <c r="H57">
        <v>74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12</v>
      </c>
      <c r="B58" t="s">
        <v>223</v>
      </c>
      <c r="C58" t="s">
        <v>224</v>
      </c>
      <c r="D58" t="s">
        <v>225</v>
      </c>
      <c r="E58" t="s">
        <v>226</v>
      </c>
      <c r="F58">
        <v>0</v>
      </c>
      <c r="G58">
        <v>22</v>
      </c>
      <c r="H58">
        <v>77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12</v>
      </c>
      <c r="B59" t="s">
        <v>204</v>
      </c>
      <c r="C59" t="s">
        <v>14</v>
      </c>
      <c r="D59" t="s">
        <v>205</v>
      </c>
      <c r="E59" t="s">
        <v>206</v>
      </c>
      <c r="F59">
        <v>0</v>
      </c>
      <c r="G59">
        <v>182</v>
      </c>
      <c r="H59">
        <v>377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12</v>
      </c>
      <c r="B60" t="s">
        <v>221</v>
      </c>
      <c r="C60" t="s">
        <v>14</v>
      </c>
      <c r="D60" t="s">
        <v>205</v>
      </c>
      <c r="E60" t="s">
        <v>222</v>
      </c>
      <c r="F60">
        <v>0</v>
      </c>
      <c r="G60">
        <v>85</v>
      </c>
      <c r="H60">
        <v>199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12</v>
      </c>
      <c r="B61" t="s">
        <v>244</v>
      </c>
      <c r="C61" t="s">
        <v>245</v>
      </c>
      <c r="D61" t="s">
        <v>246</v>
      </c>
      <c r="E61" t="s">
        <v>247</v>
      </c>
      <c r="F61">
        <v>0</v>
      </c>
      <c r="G61">
        <v>533</v>
      </c>
      <c r="H61">
        <v>1352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12</v>
      </c>
      <c r="B62" t="s">
        <v>279</v>
      </c>
      <c r="C62" t="s">
        <v>280</v>
      </c>
      <c r="D62" t="s">
        <v>281</v>
      </c>
      <c r="E62" t="s">
        <v>282</v>
      </c>
      <c r="F62">
        <v>0</v>
      </c>
      <c r="G62">
        <v>258</v>
      </c>
      <c r="H62">
        <v>479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12</v>
      </c>
      <c r="B63" t="s">
        <v>265</v>
      </c>
      <c r="C63" t="s">
        <v>14</v>
      </c>
      <c r="D63" t="s">
        <v>266</v>
      </c>
      <c r="E63" t="s">
        <v>267</v>
      </c>
      <c r="F63">
        <v>0</v>
      </c>
      <c r="G63">
        <v>13</v>
      </c>
      <c r="H63">
        <v>27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12</v>
      </c>
      <c r="B64" t="s">
        <v>273</v>
      </c>
      <c r="C64" t="s">
        <v>52</v>
      </c>
      <c r="D64" t="s">
        <v>66</v>
      </c>
      <c r="E64" t="s">
        <v>274</v>
      </c>
      <c r="F64">
        <v>0</v>
      </c>
      <c r="G64">
        <v>2</v>
      </c>
      <c r="H64">
        <v>5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12</v>
      </c>
      <c r="B65" t="s">
        <v>285</v>
      </c>
      <c r="C65" t="s">
        <v>14</v>
      </c>
      <c r="D65" t="s">
        <v>286</v>
      </c>
      <c r="E65" t="s">
        <v>287</v>
      </c>
      <c r="F65">
        <v>0</v>
      </c>
      <c r="G65">
        <v>12</v>
      </c>
      <c r="H65">
        <v>33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>
        <v>0</v>
      </c>
      <c r="G66">
        <v>15</v>
      </c>
      <c r="H66">
        <v>42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17</v>
      </c>
      <c r="B67" t="s">
        <v>136</v>
      </c>
      <c r="C67" t="s">
        <v>19</v>
      </c>
      <c r="D67" t="s">
        <v>20</v>
      </c>
      <c r="E67" t="s">
        <v>137</v>
      </c>
      <c r="F67">
        <v>0</v>
      </c>
      <c r="G67">
        <v>27</v>
      </c>
      <c r="H67">
        <v>67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17</v>
      </c>
      <c r="B68" t="s">
        <v>154</v>
      </c>
      <c r="C68" t="s">
        <v>19</v>
      </c>
      <c r="D68" t="s">
        <v>20</v>
      </c>
      <c r="E68" t="s">
        <v>155</v>
      </c>
      <c r="F68">
        <v>0</v>
      </c>
      <c r="G68">
        <v>27</v>
      </c>
      <c r="H68">
        <v>67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17</v>
      </c>
      <c r="B69" t="s">
        <v>22</v>
      </c>
      <c r="C69" t="s">
        <v>14</v>
      </c>
      <c r="D69" t="s">
        <v>23</v>
      </c>
      <c r="E69" t="s">
        <v>24</v>
      </c>
      <c r="F69">
        <v>0</v>
      </c>
      <c r="G69">
        <v>152</v>
      </c>
      <c r="H69">
        <v>119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25</v>
      </c>
      <c r="B70" t="s">
        <v>33</v>
      </c>
      <c r="C70" t="s">
        <v>34</v>
      </c>
      <c r="D70" t="s">
        <v>35</v>
      </c>
      <c r="E70" t="s">
        <v>36</v>
      </c>
      <c r="F70">
        <v>0</v>
      </c>
      <c r="G70">
        <v>20</v>
      </c>
      <c r="H70">
        <v>33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25</v>
      </c>
      <c r="B71" t="s">
        <v>111</v>
      </c>
      <c r="C71" t="s">
        <v>14</v>
      </c>
      <c r="D71" t="s">
        <v>109</v>
      </c>
      <c r="E71" t="s">
        <v>110</v>
      </c>
      <c r="F71">
        <v>0</v>
      </c>
      <c r="G71">
        <v>156</v>
      </c>
      <c r="H71">
        <v>137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25</v>
      </c>
      <c r="B72" t="s">
        <v>108</v>
      </c>
      <c r="C72" t="s">
        <v>14</v>
      </c>
      <c r="D72" t="s">
        <v>109</v>
      </c>
      <c r="E72" t="s">
        <v>110</v>
      </c>
      <c r="F72">
        <v>0</v>
      </c>
      <c r="G72">
        <v>156</v>
      </c>
      <c r="H72">
        <v>137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25</v>
      </c>
      <c r="B73" t="s">
        <v>113</v>
      </c>
      <c r="C73" t="s">
        <v>114</v>
      </c>
      <c r="D73" t="s">
        <v>115</v>
      </c>
      <c r="E73" t="s">
        <v>116</v>
      </c>
      <c r="F73">
        <v>0</v>
      </c>
      <c r="G73">
        <v>14</v>
      </c>
      <c r="H73">
        <v>30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25</v>
      </c>
      <c r="B74" t="s">
        <v>120</v>
      </c>
      <c r="C74" t="s">
        <v>44</v>
      </c>
      <c r="D74" t="s">
        <v>45</v>
      </c>
      <c r="E74" t="s">
        <v>121</v>
      </c>
      <c r="F74">
        <v>0</v>
      </c>
      <c r="G74">
        <v>1881</v>
      </c>
      <c r="H74">
        <v>2677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25</v>
      </c>
      <c r="B75" t="s">
        <v>138</v>
      </c>
      <c r="C75" t="s">
        <v>139</v>
      </c>
      <c r="D75" t="s">
        <v>140</v>
      </c>
      <c r="E75" t="s">
        <v>141</v>
      </c>
      <c r="F75">
        <v>0</v>
      </c>
      <c r="G75">
        <v>2</v>
      </c>
      <c r="H75">
        <v>2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25</v>
      </c>
      <c r="B76" t="s">
        <v>126</v>
      </c>
      <c r="C76" t="s">
        <v>127</v>
      </c>
      <c r="D76" t="s">
        <v>128</v>
      </c>
      <c r="E76" t="s">
        <v>129</v>
      </c>
      <c r="F76">
        <v>0</v>
      </c>
      <c r="G76">
        <v>1</v>
      </c>
      <c r="H76">
        <v>4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25</v>
      </c>
      <c r="B77" t="s">
        <v>171</v>
      </c>
      <c r="C77" t="s">
        <v>172</v>
      </c>
      <c r="D77" t="s">
        <v>173</v>
      </c>
      <c r="E77" t="s">
        <v>174</v>
      </c>
      <c r="F77">
        <v>0</v>
      </c>
      <c r="G77">
        <v>287</v>
      </c>
      <c r="H77">
        <v>476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25</v>
      </c>
      <c r="B78" t="s">
        <v>207</v>
      </c>
      <c r="C78" t="s">
        <v>34</v>
      </c>
      <c r="D78" t="s">
        <v>35</v>
      </c>
      <c r="E78" t="s">
        <v>208</v>
      </c>
      <c r="F78">
        <v>0</v>
      </c>
      <c r="G78">
        <v>17</v>
      </c>
      <c r="H78">
        <v>26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25</v>
      </c>
      <c r="B79" t="s">
        <v>209</v>
      </c>
      <c r="C79" t="s">
        <v>34</v>
      </c>
      <c r="D79" t="s">
        <v>35</v>
      </c>
      <c r="E79" t="s">
        <v>210</v>
      </c>
      <c r="F79">
        <v>0</v>
      </c>
      <c r="G79">
        <v>17</v>
      </c>
      <c r="H79">
        <v>26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25</v>
      </c>
      <c r="B80" t="s">
        <v>57</v>
      </c>
      <c r="C80" t="s">
        <v>58</v>
      </c>
      <c r="D80" t="s">
        <v>59</v>
      </c>
      <c r="E80" t="s">
        <v>60</v>
      </c>
      <c r="F80">
        <v>0</v>
      </c>
      <c r="G80">
        <v>90</v>
      </c>
      <c r="H80">
        <v>197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25</v>
      </c>
      <c r="B81" t="s">
        <v>26</v>
      </c>
      <c r="C81" t="s">
        <v>27</v>
      </c>
      <c r="D81" t="s">
        <v>27</v>
      </c>
      <c r="E81" t="s">
        <v>28</v>
      </c>
      <c r="F81">
        <v>0</v>
      </c>
      <c r="G81">
        <v>77</v>
      </c>
      <c r="H81">
        <v>134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25</v>
      </c>
      <c r="B82" t="s">
        <v>39</v>
      </c>
      <c r="C82" t="s">
        <v>14</v>
      </c>
      <c r="D82" t="s">
        <v>40</v>
      </c>
      <c r="E82" t="s">
        <v>41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42</v>
      </c>
      <c r="L82">
        <v>0</v>
      </c>
    </row>
    <row r="83" spans="1:12" x14ac:dyDescent="0.3">
      <c r="A83" t="s">
        <v>25</v>
      </c>
      <c r="B83" t="s">
        <v>215</v>
      </c>
      <c r="C83" t="s">
        <v>38</v>
      </c>
      <c r="D83" t="s">
        <v>38</v>
      </c>
      <c r="E83">
        <v>5.0999999999999996</v>
      </c>
      <c r="F83">
        <v>0</v>
      </c>
      <c r="G83">
        <v>639</v>
      </c>
      <c r="H83">
        <v>298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25</v>
      </c>
      <c r="B84" t="s">
        <v>248</v>
      </c>
      <c r="C84" t="s">
        <v>194</v>
      </c>
      <c r="D84" t="s">
        <v>195</v>
      </c>
      <c r="E84">
        <v>14.6</v>
      </c>
      <c r="F84">
        <v>0</v>
      </c>
      <c r="G84">
        <v>184</v>
      </c>
      <c r="H84">
        <v>214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25</v>
      </c>
      <c r="B85" t="s">
        <v>249</v>
      </c>
      <c r="C85" t="s">
        <v>194</v>
      </c>
      <c r="D85" t="s">
        <v>195</v>
      </c>
      <c r="E85" t="s">
        <v>250</v>
      </c>
      <c r="F85">
        <v>0</v>
      </c>
      <c r="G85">
        <v>180</v>
      </c>
      <c r="H85">
        <v>193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25</v>
      </c>
      <c r="B86" t="s">
        <v>251</v>
      </c>
      <c r="C86" t="s">
        <v>194</v>
      </c>
      <c r="D86" t="s">
        <v>195</v>
      </c>
      <c r="E86" t="s">
        <v>252</v>
      </c>
      <c r="F86">
        <v>0</v>
      </c>
      <c r="G86">
        <v>186</v>
      </c>
      <c r="H86">
        <v>215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25</v>
      </c>
      <c r="B87" t="s">
        <v>271</v>
      </c>
      <c r="C87" t="s">
        <v>194</v>
      </c>
      <c r="D87" t="s">
        <v>195</v>
      </c>
      <c r="E87" t="s">
        <v>272</v>
      </c>
      <c r="F87">
        <v>0</v>
      </c>
      <c r="G87">
        <v>101</v>
      </c>
      <c r="H87">
        <v>213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25</v>
      </c>
      <c r="B88" t="s">
        <v>259</v>
      </c>
      <c r="C88" t="s">
        <v>260</v>
      </c>
      <c r="D88" t="s">
        <v>260</v>
      </c>
      <c r="E88" t="s">
        <v>261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42</v>
      </c>
      <c r="L88">
        <v>0</v>
      </c>
    </row>
    <row r="89" spans="1:12" x14ac:dyDescent="0.3">
      <c r="A89" t="s">
        <v>25</v>
      </c>
      <c r="B89" t="s">
        <v>277</v>
      </c>
      <c r="C89" t="s">
        <v>194</v>
      </c>
      <c r="D89" t="s">
        <v>278</v>
      </c>
      <c r="E89" t="s">
        <v>252</v>
      </c>
      <c r="F89">
        <v>0</v>
      </c>
      <c r="G89">
        <v>60</v>
      </c>
      <c r="H89">
        <v>187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87</v>
      </c>
      <c r="B90" t="s">
        <v>180</v>
      </c>
      <c r="C90" t="s">
        <v>181</v>
      </c>
      <c r="D90" t="s">
        <v>182</v>
      </c>
      <c r="E90" t="s">
        <v>183</v>
      </c>
      <c r="F90">
        <v>0</v>
      </c>
      <c r="G90">
        <v>1552</v>
      </c>
      <c r="H90">
        <v>2824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87</v>
      </c>
      <c r="B91" t="s">
        <v>161</v>
      </c>
      <c r="C91" t="s">
        <v>14</v>
      </c>
      <c r="D91" t="s">
        <v>162</v>
      </c>
      <c r="E91" t="s">
        <v>163</v>
      </c>
      <c r="F91">
        <v>0</v>
      </c>
      <c r="G91">
        <v>195</v>
      </c>
      <c r="H91">
        <v>451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87</v>
      </c>
      <c r="B92" t="s">
        <v>168</v>
      </c>
      <c r="C92" t="s">
        <v>169</v>
      </c>
      <c r="D92" t="s">
        <v>151</v>
      </c>
      <c r="E92" t="s">
        <v>170</v>
      </c>
      <c r="F92">
        <v>0</v>
      </c>
      <c r="G92">
        <v>6</v>
      </c>
      <c r="H92">
        <v>16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87</v>
      </c>
      <c r="B93" t="s">
        <v>235</v>
      </c>
      <c r="C93" t="s">
        <v>44</v>
      </c>
      <c r="D93" t="s">
        <v>236</v>
      </c>
      <c r="E93">
        <v>1.9</v>
      </c>
      <c r="F93">
        <v>0</v>
      </c>
      <c r="G93">
        <v>2</v>
      </c>
      <c r="H93">
        <v>4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87</v>
      </c>
      <c r="B94" t="s">
        <v>239</v>
      </c>
      <c r="C94" t="s">
        <v>240</v>
      </c>
      <c r="D94" t="s">
        <v>240</v>
      </c>
      <c r="E94" t="s">
        <v>241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87</v>
      </c>
      <c r="B95" t="s">
        <v>262</v>
      </c>
      <c r="C95" t="s">
        <v>44</v>
      </c>
      <c r="D95" t="s">
        <v>263</v>
      </c>
      <c r="E95" t="s">
        <v>264</v>
      </c>
      <c r="F95">
        <v>0</v>
      </c>
      <c r="G95">
        <v>3670</v>
      </c>
      <c r="H95">
        <v>4033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87</v>
      </c>
      <c r="B96" t="s">
        <v>275</v>
      </c>
      <c r="C96" t="s">
        <v>14</v>
      </c>
      <c r="D96" t="s">
        <v>118</v>
      </c>
      <c r="E96" t="s">
        <v>276</v>
      </c>
      <c r="F96">
        <v>0</v>
      </c>
      <c r="G96">
        <v>232</v>
      </c>
      <c r="H96">
        <v>618</v>
      </c>
      <c r="I96">
        <v>0</v>
      </c>
      <c r="J96">
        <v>0</v>
      </c>
      <c r="K96">
        <v>0</v>
      </c>
      <c r="L96">
        <v>0</v>
      </c>
    </row>
  </sheetData>
  <sortState xmlns:xlrd2="http://schemas.microsoft.com/office/spreadsheetml/2017/richdata2" ref="A2:L96">
    <sortCondition descending="1" ref="F1:F96"/>
  </sortState>
  <phoneticPr fontId="19" type="noConversion"/>
  <conditionalFormatting sqref="B1:B1048576">
    <cfRule type="duplicateValues" dxfId="8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96EB-EB5B-4E71-AE60-E27BE1C0DAC9}">
  <dimension ref="A1:L96"/>
  <sheetViews>
    <sheetView tabSelected="1" topLeftCell="A17" workbookViewId="0">
      <selection activeCell="R60" sqref="R60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70</v>
      </c>
      <c r="C2" t="s">
        <v>71</v>
      </c>
      <c r="D2" t="s">
        <v>72</v>
      </c>
      <c r="E2" t="s">
        <v>73</v>
      </c>
      <c r="F2" t="s">
        <v>288</v>
      </c>
      <c r="G2" t="s">
        <v>288</v>
      </c>
      <c r="H2" t="s">
        <v>288</v>
      </c>
      <c r="I2" t="s">
        <v>288</v>
      </c>
      <c r="J2" t="s">
        <v>288</v>
      </c>
      <c r="K2" t="s">
        <v>42</v>
      </c>
      <c r="L2" t="s">
        <v>42</v>
      </c>
    </row>
    <row r="3" spans="1:12" x14ac:dyDescent="0.3">
      <c r="A3" t="s">
        <v>12</v>
      </c>
      <c r="B3" t="s">
        <v>211</v>
      </c>
      <c r="C3" t="s">
        <v>212</v>
      </c>
      <c r="D3" t="s">
        <v>213</v>
      </c>
      <c r="E3" t="s">
        <v>214</v>
      </c>
      <c r="F3" t="s">
        <v>288</v>
      </c>
      <c r="G3">
        <v>6223</v>
      </c>
      <c r="H3" t="s">
        <v>288</v>
      </c>
      <c r="I3" t="s">
        <v>288</v>
      </c>
      <c r="J3" t="s">
        <v>288</v>
      </c>
      <c r="K3" t="s">
        <v>42</v>
      </c>
      <c r="L3" t="s">
        <v>42</v>
      </c>
    </row>
    <row r="4" spans="1:12" x14ac:dyDescent="0.3">
      <c r="A4" t="s">
        <v>12</v>
      </c>
      <c r="B4" t="s">
        <v>217</v>
      </c>
      <c r="C4" t="s">
        <v>38</v>
      </c>
      <c r="D4" t="s">
        <v>38</v>
      </c>
      <c r="E4">
        <v>5.0999999999999996</v>
      </c>
      <c r="F4" t="s">
        <v>288</v>
      </c>
      <c r="G4" t="s">
        <v>288</v>
      </c>
      <c r="H4" t="s">
        <v>288</v>
      </c>
      <c r="I4" t="s">
        <v>288</v>
      </c>
      <c r="J4" t="s">
        <v>288</v>
      </c>
      <c r="K4" t="s">
        <v>42</v>
      </c>
      <c r="L4" t="s">
        <v>42</v>
      </c>
    </row>
    <row r="5" spans="1:12" x14ac:dyDescent="0.3">
      <c r="A5" t="s">
        <v>12</v>
      </c>
      <c r="B5" t="s">
        <v>216</v>
      </c>
      <c r="C5" t="s">
        <v>38</v>
      </c>
      <c r="D5" t="s">
        <v>38</v>
      </c>
      <c r="E5">
        <v>5.0999999999999996</v>
      </c>
      <c r="F5" t="s">
        <v>288</v>
      </c>
      <c r="G5" t="s">
        <v>288</v>
      </c>
      <c r="H5" t="s">
        <v>288</v>
      </c>
      <c r="I5" t="s">
        <v>288</v>
      </c>
      <c r="J5" t="s">
        <v>288</v>
      </c>
      <c r="K5" t="s">
        <v>42</v>
      </c>
      <c r="L5" t="s">
        <v>42</v>
      </c>
    </row>
    <row r="6" spans="1:12" x14ac:dyDescent="0.3">
      <c r="A6" t="s">
        <v>12</v>
      </c>
      <c r="B6" t="s">
        <v>218</v>
      </c>
      <c r="C6" t="s">
        <v>14</v>
      </c>
      <c r="D6" t="s">
        <v>219</v>
      </c>
      <c r="E6" t="s">
        <v>220</v>
      </c>
      <c r="F6" t="s">
        <v>288</v>
      </c>
      <c r="G6" t="s">
        <v>288</v>
      </c>
      <c r="H6" t="s">
        <v>288</v>
      </c>
      <c r="I6" t="s">
        <v>288</v>
      </c>
      <c r="J6" t="s">
        <v>288</v>
      </c>
      <c r="K6" t="s">
        <v>42</v>
      </c>
      <c r="L6" t="s">
        <v>42</v>
      </c>
    </row>
    <row r="7" spans="1:12" x14ac:dyDescent="0.3">
      <c r="A7" t="s">
        <v>12</v>
      </c>
      <c r="B7" t="s">
        <v>227</v>
      </c>
      <c r="C7" t="s">
        <v>27</v>
      </c>
      <c r="D7" t="s">
        <v>27</v>
      </c>
      <c r="E7" t="s">
        <v>228</v>
      </c>
      <c r="F7" t="s">
        <v>288</v>
      </c>
      <c r="G7" t="s">
        <v>288</v>
      </c>
      <c r="H7" t="s">
        <v>288</v>
      </c>
      <c r="I7" t="s">
        <v>288</v>
      </c>
      <c r="J7" t="s">
        <v>288</v>
      </c>
      <c r="K7" t="s">
        <v>42</v>
      </c>
      <c r="L7" t="s">
        <v>42</v>
      </c>
    </row>
    <row r="8" spans="1:12" x14ac:dyDescent="0.3">
      <c r="A8" t="s">
        <v>12</v>
      </c>
      <c r="B8" t="s">
        <v>244</v>
      </c>
      <c r="C8" t="s">
        <v>245</v>
      </c>
      <c r="D8" t="s">
        <v>246</v>
      </c>
      <c r="E8" t="s">
        <v>247</v>
      </c>
      <c r="F8" t="s">
        <v>288</v>
      </c>
      <c r="G8" t="s">
        <v>288</v>
      </c>
      <c r="H8" t="s">
        <v>288</v>
      </c>
      <c r="I8" t="s">
        <v>288</v>
      </c>
      <c r="J8" t="s">
        <v>288</v>
      </c>
      <c r="K8" t="s">
        <v>42</v>
      </c>
      <c r="L8" t="s">
        <v>42</v>
      </c>
    </row>
    <row r="9" spans="1:12" x14ac:dyDescent="0.3">
      <c r="A9" t="s">
        <v>12</v>
      </c>
      <c r="B9" t="s">
        <v>279</v>
      </c>
      <c r="C9" t="s">
        <v>280</v>
      </c>
      <c r="D9" t="s">
        <v>281</v>
      </c>
      <c r="E9" t="s">
        <v>282</v>
      </c>
      <c r="F9" t="s">
        <v>288</v>
      </c>
      <c r="G9" t="s">
        <v>288</v>
      </c>
      <c r="H9" t="s">
        <v>288</v>
      </c>
      <c r="I9" t="s">
        <v>288</v>
      </c>
      <c r="J9" t="s">
        <v>288</v>
      </c>
      <c r="K9" t="s">
        <v>42</v>
      </c>
      <c r="L9" t="s">
        <v>42</v>
      </c>
    </row>
    <row r="10" spans="1:12" x14ac:dyDescent="0.3">
      <c r="A10" t="s">
        <v>25</v>
      </c>
      <c r="B10" t="s">
        <v>120</v>
      </c>
      <c r="C10" t="s">
        <v>44</v>
      </c>
      <c r="D10" t="s">
        <v>45</v>
      </c>
      <c r="E10" t="s">
        <v>121</v>
      </c>
      <c r="F10" t="s">
        <v>288</v>
      </c>
      <c r="G10" t="s">
        <v>288</v>
      </c>
      <c r="H10" t="s">
        <v>288</v>
      </c>
      <c r="I10" t="s">
        <v>288</v>
      </c>
      <c r="J10" t="s">
        <v>288</v>
      </c>
      <c r="K10" t="s">
        <v>42</v>
      </c>
      <c r="L10" t="s">
        <v>42</v>
      </c>
    </row>
    <row r="11" spans="1:12" x14ac:dyDescent="0.3">
      <c r="A11" t="s">
        <v>25</v>
      </c>
      <c r="B11" t="s">
        <v>43</v>
      </c>
      <c r="C11" t="s">
        <v>44</v>
      </c>
      <c r="D11" t="s">
        <v>45</v>
      </c>
      <c r="E11" t="s">
        <v>46</v>
      </c>
      <c r="F11" t="s">
        <v>288</v>
      </c>
      <c r="G11" t="s">
        <v>288</v>
      </c>
      <c r="H11" t="s">
        <v>288</v>
      </c>
      <c r="I11" t="s">
        <v>288</v>
      </c>
      <c r="J11" t="s">
        <v>288</v>
      </c>
      <c r="K11" t="s">
        <v>42</v>
      </c>
      <c r="L11" t="s">
        <v>42</v>
      </c>
    </row>
    <row r="12" spans="1:12" x14ac:dyDescent="0.3">
      <c r="A12" t="s">
        <v>25</v>
      </c>
      <c r="B12" t="s">
        <v>215</v>
      </c>
      <c r="C12" t="s">
        <v>38</v>
      </c>
      <c r="D12" t="s">
        <v>38</v>
      </c>
      <c r="E12">
        <v>5.0999999999999996</v>
      </c>
      <c r="F12" t="s">
        <v>288</v>
      </c>
      <c r="G12" t="s">
        <v>288</v>
      </c>
      <c r="H12" t="s">
        <v>288</v>
      </c>
      <c r="I12" t="s">
        <v>288</v>
      </c>
      <c r="J12" t="s">
        <v>288</v>
      </c>
      <c r="K12" t="s">
        <v>42</v>
      </c>
      <c r="L12" t="s">
        <v>42</v>
      </c>
    </row>
    <row r="13" spans="1:12" x14ac:dyDescent="0.3">
      <c r="A13" t="s">
        <v>25</v>
      </c>
      <c r="B13" t="s">
        <v>232</v>
      </c>
      <c r="C13" t="s">
        <v>27</v>
      </c>
      <c r="D13" t="s">
        <v>27</v>
      </c>
      <c r="E13" t="s">
        <v>176</v>
      </c>
      <c r="F13" t="s">
        <v>288</v>
      </c>
      <c r="G13" t="s">
        <v>288</v>
      </c>
      <c r="H13" t="s">
        <v>288</v>
      </c>
      <c r="I13" t="s">
        <v>288</v>
      </c>
      <c r="J13" t="s">
        <v>288</v>
      </c>
      <c r="K13" t="s">
        <v>42</v>
      </c>
      <c r="L13" t="s">
        <v>42</v>
      </c>
    </row>
    <row r="14" spans="1:12" x14ac:dyDescent="0.3">
      <c r="A14" t="s">
        <v>25</v>
      </c>
      <c r="B14" t="s">
        <v>175</v>
      </c>
      <c r="C14" t="s">
        <v>27</v>
      </c>
      <c r="D14" t="s">
        <v>27</v>
      </c>
      <c r="E14" t="s">
        <v>176</v>
      </c>
      <c r="F14" t="s">
        <v>288</v>
      </c>
      <c r="G14" t="s">
        <v>288</v>
      </c>
      <c r="H14" t="s">
        <v>288</v>
      </c>
      <c r="I14" t="s">
        <v>288</v>
      </c>
      <c r="J14" t="s">
        <v>288</v>
      </c>
      <c r="K14" t="s">
        <v>42</v>
      </c>
      <c r="L14" t="s">
        <v>42</v>
      </c>
    </row>
    <row r="15" spans="1:12" x14ac:dyDescent="0.3">
      <c r="A15" t="s">
        <v>25</v>
      </c>
      <c r="B15" t="s">
        <v>248</v>
      </c>
      <c r="C15" t="s">
        <v>194</v>
      </c>
      <c r="D15" t="s">
        <v>195</v>
      </c>
      <c r="E15">
        <v>14.6</v>
      </c>
      <c r="F15" t="s">
        <v>288</v>
      </c>
      <c r="G15" t="s">
        <v>288</v>
      </c>
      <c r="H15" t="s">
        <v>288</v>
      </c>
      <c r="I15" t="s">
        <v>288</v>
      </c>
      <c r="J15" t="s">
        <v>288</v>
      </c>
      <c r="K15" t="s">
        <v>42</v>
      </c>
      <c r="L15" t="s">
        <v>42</v>
      </c>
    </row>
    <row r="16" spans="1:12" x14ac:dyDescent="0.3">
      <c r="A16" t="s">
        <v>25</v>
      </c>
      <c r="B16" t="s">
        <v>249</v>
      </c>
      <c r="C16" t="s">
        <v>194</v>
      </c>
      <c r="D16" t="s">
        <v>195</v>
      </c>
      <c r="E16" t="s">
        <v>250</v>
      </c>
      <c r="F16" t="s">
        <v>288</v>
      </c>
      <c r="G16" t="s">
        <v>288</v>
      </c>
      <c r="H16" t="s">
        <v>288</v>
      </c>
      <c r="I16" t="s">
        <v>288</v>
      </c>
      <c r="J16" t="s">
        <v>288</v>
      </c>
      <c r="K16" t="s">
        <v>42</v>
      </c>
      <c r="L16" t="s">
        <v>42</v>
      </c>
    </row>
    <row r="17" spans="1:12" x14ac:dyDescent="0.3">
      <c r="A17" t="s">
        <v>25</v>
      </c>
      <c r="B17" t="s">
        <v>251</v>
      </c>
      <c r="C17" t="s">
        <v>194</v>
      </c>
      <c r="D17" t="s">
        <v>195</v>
      </c>
      <c r="E17" t="s">
        <v>252</v>
      </c>
      <c r="F17" t="s">
        <v>288</v>
      </c>
      <c r="G17" t="s">
        <v>288</v>
      </c>
      <c r="H17" t="s">
        <v>288</v>
      </c>
      <c r="I17" t="s">
        <v>288</v>
      </c>
      <c r="J17" t="s">
        <v>288</v>
      </c>
      <c r="K17" t="s">
        <v>42</v>
      </c>
      <c r="L17" t="s">
        <v>42</v>
      </c>
    </row>
    <row r="18" spans="1:12" x14ac:dyDescent="0.3">
      <c r="A18" t="s">
        <v>25</v>
      </c>
      <c r="B18" t="s">
        <v>237</v>
      </c>
      <c r="C18" t="s">
        <v>27</v>
      </c>
      <c r="D18" t="s">
        <v>27</v>
      </c>
      <c r="E18" t="s">
        <v>238</v>
      </c>
      <c r="F18" t="s">
        <v>288</v>
      </c>
      <c r="G18" t="s">
        <v>288</v>
      </c>
      <c r="H18" t="s">
        <v>288</v>
      </c>
      <c r="I18" t="s">
        <v>288</v>
      </c>
      <c r="J18" t="s">
        <v>288</v>
      </c>
      <c r="K18" t="s">
        <v>42</v>
      </c>
      <c r="L18" t="s">
        <v>42</v>
      </c>
    </row>
    <row r="19" spans="1:12" x14ac:dyDescent="0.3">
      <c r="A19" t="s">
        <v>12</v>
      </c>
      <c r="B19" t="s">
        <v>47</v>
      </c>
      <c r="C19" t="s">
        <v>48</v>
      </c>
      <c r="D19" t="s">
        <v>49</v>
      </c>
      <c r="E19" t="s">
        <v>50</v>
      </c>
      <c r="F19">
        <v>1</v>
      </c>
      <c r="G19">
        <v>9</v>
      </c>
      <c r="H19">
        <v>26</v>
      </c>
      <c r="I19">
        <v>3</v>
      </c>
      <c r="J19">
        <v>10</v>
      </c>
      <c r="K19">
        <v>0.33333333329999998</v>
      </c>
      <c r="L19">
        <v>0.5</v>
      </c>
    </row>
    <row r="20" spans="1:12" x14ac:dyDescent="0.3">
      <c r="A20" t="s">
        <v>12</v>
      </c>
      <c r="B20" t="s">
        <v>83</v>
      </c>
      <c r="C20" t="s">
        <v>84</v>
      </c>
      <c r="D20" t="s">
        <v>85</v>
      </c>
      <c r="E20" t="s">
        <v>86</v>
      </c>
      <c r="F20">
        <v>1</v>
      </c>
      <c r="G20">
        <v>16</v>
      </c>
      <c r="H20">
        <v>45</v>
      </c>
      <c r="I20">
        <v>1</v>
      </c>
      <c r="J20">
        <v>4</v>
      </c>
      <c r="K20">
        <v>6.25E-2</v>
      </c>
      <c r="L20">
        <v>0.1176470588</v>
      </c>
    </row>
    <row r="21" spans="1:12" x14ac:dyDescent="0.3">
      <c r="A21" t="s">
        <v>12</v>
      </c>
      <c r="B21" t="s">
        <v>96</v>
      </c>
      <c r="C21" t="s">
        <v>14</v>
      </c>
      <c r="D21" t="s">
        <v>97</v>
      </c>
      <c r="E21" t="s">
        <v>98</v>
      </c>
      <c r="F21">
        <v>1</v>
      </c>
      <c r="G21">
        <v>1100</v>
      </c>
      <c r="H21">
        <v>2566</v>
      </c>
      <c r="I21">
        <v>6</v>
      </c>
      <c r="J21">
        <v>10</v>
      </c>
      <c r="K21">
        <v>5.4545454550000002E-3</v>
      </c>
      <c r="L21">
        <v>1.0849909580000001E-2</v>
      </c>
    </row>
    <row r="22" spans="1:12" x14ac:dyDescent="0.3">
      <c r="A22" t="s">
        <v>12</v>
      </c>
      <c r="B22" t="s">
        <v>77</v>
      </c>
      <c r="C22" t="s">
        <v>14</v>
      </c>
      <c r="D22" t="s">
        <v>78</v>
      </c>
      <c r="E22">
        <v>1.18</v>
      </c>
      <c r="F22">
        <v>1</v>
      </c>
      <c r="G22">
        <v>423</v>
      </c>
      <c r="H22">
        <v>1127</v>
      </c>
      <c r="I22">
        <v>2</v>
      </c>
      <c r="J22">
        <v>2</v>
      </c>
      <c r="K22">
        <v>4.7281323879999997E-3</v>
      </c>
      <c r="L22">
        <v>9.4117647059999993E-3</v>
      </c>
    </row>
    <row r="23" spans="1:12" x14ac:dyDescent="0.3">
      <c r="A23" t="s">
        <v>12</v>
      </c>
      <c r="B23" t="s">
        <v>101</v>
      </c>
      <c r="C23" t="s">
        <v>14</v>
      </c>
      <c r="D23" t="s">
        <v>97</v>
      </c>
      <c r="E23" t="s">
        <v>102</v>
      </c>
      <c r="F23">
        <v>1</v>
      </c>
      <c r="G23">
        <v>1173</v>
      </c>
      <c r="H23">
        <v>2832</v>
      </c>
      <c r="I23">
        <v>1</v>
      </c>
      <c r="J23">
        <v>4</v>
      </c>
      <c r="K23">
        <v>8.5251491899999998E-4</v>
      </c>
      <c r="L23">
        <v>1.7035775130000001E-3</v>
      </c>
    </row>
    <row r="24" spans="1:12" x14ac:dyDescent="0.3">
      <c r="A24" t="s">
        <v>12</v>
      </c>
      <c r="B24" t="s">
        <v>103</v>
      </c>
      <c r="C24" t="s">
        <v>44</v>
      </c>
      <c r="D24" t="s">
        <v>104</v>
      </c>
      <c r="E24" t="s">
        <v>105</v>
      </c>
      <c r="F24">
        <v>1</v>
      </c>
      <c r="G24">
        <v>40</v>
      </c>
      <c r="H24">
        <v>89</v>
      </c>
      <c r="I24">
        <v>5</v>
      </c>
      <c r="J24">
        <v>7</v>
      </c>
      <c r="K24">
        <v>0.125</v>
      </c>
      <c r="L24">
        <v>0.22222222220000001</v>
      </c>
    </row>
    <row r="25" spans="1:12" x14ac:dyDescent="0.3">
      <c r="A25" t="s">
        <v>12</v>
      </c>
      <c r="B25" t="s">
        <v>146</v>
      </c>
      <c r="C25" t="s">
        <v>147</v>
      </c>
      <c r="D25" t="s">
        <v>148</v>
      </c>
      <c r="E25" t="s">
        <v>149</v>
      </c>
      <c r="F25">
        <v>1</v>
      </c>
      <c r="G25">
        <v>28</v>
      </c>
      <c r="H25">
        <v>102</v>
      </c>
      <c r="I25">
        <v>4</v>
      </c>
      <c r="J25">
        <v>16</v>
      </c>
      <c r="K25">
        <v>0.14285714290000001</v>
      </c>
      <c r="L25">
        <v>0.25</v>
      </c>
    </row>
    <row r="26" spans="1:12" x14ac:dyDescent="0.3">
      <c r="A26" t="s">
        <v>12</v>
      </c>
      <c r="B26" t="s">
        <v>117</v>
      </c>
      <c r="C26" t="s">
        <v>14</v>
      </c>
      <c r="D26" t="s">
        <v>118</v>
      </c>
      <c r="E26" t="s">
        <v>119</v>
      </c>
      <c r="F26">
        <v>1</v>
      </c>
      <c r="G26">
        <v>36</v>
      </c>
      <c r="H26">
        <v>83</v>
      </c>
      <c r="I26">
        <v>1</v>
      </c>
      <c r="J26">
        <v>1</v>
      </c>
      <c r="K26">
        <v>2.7777777779999999E-2</v>
      </c>
      <c r="L26">
        <v>5.4054054050000001E-2</v>
      </c>
    </row>
    <row r="27" spans="1:12" x14ac:dyDescent="0.3">
      <c r="A27" t="s">
        <v>12</v>
      </c>
      <c r="B27" t="s">
        <v>142</v>
      </c>
      <c r="C27" t="s">
        <v>143</v>
      </c>
      <c r="D27" t="s">
        <v>144</v>
      </c>
      <c r="E27" t="s">
        <v>145</v>
      </c>
      <c r="F27">
        <v>1</v>
      </c>
      <c r="G27">
        <v>16</v>
      </c>
      <c r="H27">
        <v>28</v>
      </c>
      <c r="I27">
        <v>1</v>
      </c>
      <c r="J27">
        <v>1</v>
      </c>
      <c r="K27">
        <v>6.25E-2</v>
      </c>
      <c r="L27">
        <v>0.1176470588</v>
      </c>
    </row>
    <row r="28" spans="1:12" x14ac:dyDescent="0.3">
      <c r="A28" t="s">
        <v>12</v>
      </c>
      <c r="B28" t="s">
        <v>150</v>
      </c>
      <c r="C28" t="s">
        <v>151</v>
      </c>
      <c r="D28" t="s">
        <v>152</v>
      </c>
      <c r="E28" t="s">
        <v>153</v>
      </c>
      <c r="F28">
        <v>1</v>
      </c>
      <c r="G28">
        <v>16</v>
      </c>
      <c r="H28">
        <v>33</v>
      </c>
      <c r="I28">
        <v>1</v>
      </c>
      <c r="J28">
        <v>1</v>
      </c>
      <c r="K28">
        <v>6.25E-2</v>
      </c>
      <c r="L28">
        <v>0.1176470588</v>
      </c>
    </row>
    <row r="29" spans="1:12" x14ac:dyDescent="0.3">
      <c r="A29" t="s">
        <v>12</v>
      </c>
      <c r="B29" t="s">
        <v>177</v>
      </c>
      <c r="C29" t="s">
        <v>44</v>
      </c>
      <c r="D29" t="s">
        <v>178</v>
      </c>
      <c r="E29" t="s">
        <v>179</v>
      </c>
      <c r="F29">
        <v>1</v>
      </c>
      <c r="G29">
        <v>184</v>
      </c>
      <c r="H29">
        <v>411</v>
      </c>
      <c r="I29">
        <v>1</v>
      </c>
      <c r="J29">
        <v>3</v>
      </c>
      <c r="K29">
        <v>5.4347826089999997E-3</v>
      </c>
      <c r="L29">
        <v>1.081081081E-2</v>
      </c>
    </row>
    <row r="30" spans="1:12" x14ac:dyDescent="0.3">
      <c r="A30" t="s">
        <v>12</v>
      </c>
      <c r="B30" t="s">
        <v>122</v>
      </c>
      <c r="C30" t="s">
        <v>84</v>
      </c>
      <c r="D30" t="s">
        <v>85</v>
      </c>
      <c r="E30" t="s">
        <v>123</v>
      </c>
      <c r="F30">
        <v>1</v>
      </c>
      <c r="G30">
        <v>22</v>
      </c>
      <c r="H30">
        <v>62</v>
      </c>
      <c r="I30">
        <v>1</v>
      </c>
      <c r="J30">
        <v>4</v>
      </c>
      <c r="K30">
        <v>4.5454545450000002E-2</v>
      </c>
      <c r="L30">
        <v>8.6956521740000001E-2</v>
      </c>
    </row>
    <row r="31" spans="1:12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>
        <v>1</v>
      </c>
      <c r="G31">
        <v>64</v>
      </c>
      <c r="H31">
        <v>131</v>
      </c>
      <c r="I31">
        <v>11</v>
      </c>
      <c r="J31">
        <v>18</v>
      </c>
      <c r="K31">
        <v>0.171875</v>
      </c>
      <c r="L31">
        <v>0.2933333333</v>
      </c>
    </row>
    <row r="32" spans="1:12" x14ac:dyDescent="0.3">
      <c r="A32" t="s">
        <v>12</v>
      </c>
      <c r="B32" t="s">
        <v>29</v>
      </c>
      <c r="C32" t="s">
        <v>30</v>
      </c>
      <c r="D32" t="s">
        <v>31</v>
      </c>
      <c r="E32" t="s">
        <v>32</v>
      </c>
      <c r="F32">
        <v>1</v>
      </c>
      <c r="G32">
        <v>25</v>
      </c>
      <c r="H32">
        <v>55</v>
      </c>
      <c r="I32">
        <v>1</v>
      </c>
      <c r="J32">
        <v>1</v>
      </c>
      <c r="K32">
        <v>0.04</v>
      </c>
      <c r="L32">
        <v>7.692307692E-2</v>
      </c>
    </row>
    <row r="33" spans="1:12" x14ac:dyDescent="0.3">
      <c r="A33" t="s">
        <v>12</v>
      </c>
      <c r="B33" t="s">
        <v>79</v>
      </c>
      <c r="C33" t="s">
        <v>80</v>
      </c>
      <c r="D33" t="s">
        <v>81</v>
      </c>
      <c r="E33" t="s">
        <v>82</v>
      </c>
      <c r="F33">
        <v>1</v>
      </c>
      <c r="G33">
        <v>57</v>
      </c>
      <c r="H33">
        <v>152</v>
      </c>
      <c r="I33">
        <v>2</v>
      </c>
      <c r="J33">
        <v>2</v>
      </c>
      <c r="K33">
        <v>3.50877193E-2</v>
      </c>
      <c r="L33">
        <v>6.7796610169999993E-2</v>
      </c>
    </row>
    <row r="34" spans="1:12" x14ac:dyDescent="0.3">
      <c r="A34" t="s">
        <v>12</v>
      </c>
      <c r="B34" t="s">
        <v>65</v>
      </c>
      <c r="C34" t="s">
        <v>52</v>
      </c>
      <c r="D34" t="s">
        <v>66</v>
      </c>
      <c r="E34">
        <v>3.5</v>
      </c>
      <c r="F34">
        <v>1</v>
      </c>
      <c r="G34">
        <v>7</v>
      </c>
      <c r="H34">
        <v>12</v>
      </c>
      <c r="I34">
        <v>2</v>
      </c>
      <c r="J34">
        <v>5</v>
      </c>
      <c r="K34">
        <v>0.28571428570000001</v>
      </c>
      <c r="L34">
        <v>0.44444444440000003</v>
      </c>
    </row>
    <row r="35" spans="1:12" x14ac:dyDescent="0.3">
      <c r="A35" t="s">
        <v>12</v>
      </c>
      <c r="B35" t="s">
        <v>67</v>
      </c>
      <c r="C35" t="s">
        <v>68</v>
      </c>
      <c r="D35" t="s">
        <v>69</v>
      </c>
      <c r="E35">
        <v>1.1200000000000001</v>
      </c>
      <c r="F35">
        <v>1</v>
      </c>
      <c r="G35">
        <v>27</v>
      </c>
      <c r="H35">
        <v>61</v>
      </c>
      <c r="I35">
        <v>2</v>
      </c>
      <c r="J35">
        <v>3</v>
      </c>
      <c r="K35">
        <v>7.4074074069999996E-2</v>
      </c>
      <c r="L35">
        <v>0.13793103449999999</v>
      </c>
    </row>
    <row r="36" spans="1:12" x14ac:dyDescent="0.3">
      <c r="A36" t="s">
        <v>12</v>
      </c>
      <c r="B36" t="s">
        <v>200</v>
      </c>
      <c r="C36" t="s">
        <v>201</v>
      </c>
      <c r="D36" t="s">
        <v>202</v>
      </c>
      <c r="E36" t="s">
        <v>203</v>
      </c>
      <c r="F36">
        <v>1</v>
      </c>
      <c r="G36">
        <v>60</v>
      </c>
      <c r="H36">
        <v>126</v>
      </c>
      <c r="I36">
        <v>2</v>
      </c>
      <c r="J36">
        <v>5</v>
      </c>
      <c r="K36">
        <v>3.3333333329999999E-2</v>
      </c>
      <c r="L36">
        <v>6.4516129029999994E-2</v>
      </c>
    </row>
    <row r="37" spans="1:12" x14ac:dyDescent="0.3">
      <c r="A37" t="s">
        <v>12</v>
      </c>
      <c r="B37" t="s">
        <v>229</v>
      </c>
      <c r="C37" t="s">
        <v>230</v>
      </c>
      <c r="D37" t="s">
        <v>231</v>
      </c>
      <c r="E37">
        <v>7.5</v>
      </c>
      <c r="F37">
        <v>1</v>
      </c>
      <c r="G37">
        <v>16</v>
      </c>
      <c r="H37">
        <v>40</v>
      </c>
      <c r="I37">
        <v>4</v>
      </c>
      <c r="J37">
        <v>6</v>
      </c>
      <c r="K37">
        <v>0.25</v>
      </c>
      <c r="L37">
        <v>0.4</v>
      </c>
    </row>
    <row r="38" spans="1:12" x14ac:dyDescent="0.3">
      <c r="A38" t="s">
        <v>12</v>
      </c>
      <c r="B38" t="s">
        <v>268</v>
      </c>
      <c r="C38" t="s">
        <v>14</v>
      </c>
      <c r="D38" t="s">
        <v>269</v>
      </c>
      <c r="E38" t="s">
        <v>270</v>
      </c>
      <c r="F38">
        <v>1</v>
      </c>
      <c r="G38">
        <v>131</v>
      </c>
      <c r="H38">
        <v>304</v>
      </c>
      <c r="I38">
        <v>41</v>
      </c>
      <c r="J38">
        <v>86</v>
      </c>
      <c r="K38">
        <v>0.3129770992</v>
      </c>
      <c r="L38">
        <v>0.47674418600000001</v>
      </c>
    </row>
    <row r="39" spans="1:12" x14ac:dyDescent="0.3">
      <c r="A39" t="s">
        <v>12</v>
      </c>
      <c r="B39" t="s">
        <v>273</v>
      </c>
      <c r="C39" t="s">
        <v>52</v>
      </c>
      <c r="D39" t="s">
        <v>66</v>
      </c>
      <c r="E39" t="s">
        <v>274</v>
      </c>
      <c r="F39">
        <v>1</v>
      </c>
      <c r="G39">
        <v>12</v>
      </c>
      <c r="H39">
        <v>21</v>
      </c>
      <c r="I39">
        <v>3</v>
      </c>
      <c r="J39">
        <v>10</v>
      </c>
      <c r="K39">
        <v>0.25</v>
      </c>
      <c r="L39">
        <v>0.4</v>
      </c>
    </row>
    <row r="40" spans="1:12" x14ac:dyDescent="0.3">
      <c r="A40" t="s">
        <v>12</v>
      </c>
      <c r="B40" t="s">
        <v>233</v>
      </c>
      <c r="C40" t="s">
        <v>52</v>
      </c>
      <c r="D40" t="s">
        <v>53</v>
      </c>
      <c r="E40" t="s">
        <v>234</v>
      </c>
      <c r="F40">
        <v>1</v>
      </c>
      <c r="G40">
        <v>30</v>
      </c>
      <c r="H40">
        <v>81</v>
      </c>
      <c r="I40">
        <v>1</v>
      </c>
      <c r="J40">
        <v>3</v>
      </c>
      <c r="K40">
        <v>3.3333333329999999E-2</v>
      </c>
      <c r="L40">
        <v>6.4516129029999994E-2</v>
      </c>
    </row>
    <row r="41" spans="1:12" x14ac:dyDescent="0.3">
      <c r="A41" t="s">
        <v>17</v>
      </c>
      <c r="B41" t="s">
        <v>154</v>
      </c>
      <c r="C41" t="s">
        <v>19</v>
      </c>
      <c r="D41" t="s">
        <v>20</v>
      </c>
      <c r="E41" t="s">
        <v>155</v>
      </c>
      <c r="F41">
        <v>1</v>
      </c>
      <c r="G41">
        <v>21</v>
      </c>
      <c r="H41">
        <v>43</v>
      </c>
      <c r="I41">
        <v>3</v>
      </c>
      <c r="J41">
        <v>4</v>
      </c>
      <c r="K41">
        <v>0.14285714290000001</v>
      </c>
      <c r="L41">
        <v>0.25</v>
      </c>
    </row>
    <row r="42" spans="1:12" x14ac:dyDescent="0.3">
      <c r="A42" t="s">
        <v>17</v>
      </c>
      <c r="B42" t="s">
        <v>51</v>
      </c>
      <c r="C42" t="s">
        <v>52</v>
      </c>
      <c r="D42" t="s">
        <v>53</v>
      </c>
      <c r="E42" t="s">
        <v>54</v>
      </c>
      <c r="F42">
        <v>1</v>
      </c>
      <c r="G42">
        <v>6</v>
      </c>
      <c r="H42">
        <v>20</v>
      </c>
      <c r="I42">
        <v>2</v>
      </c>
      <c r="J42">
        <v>8</v>
      </c>
      <c r="K42">
        <v>0.33333333329999998</v>
      </c>
      <c r="L42">
        <v>0.5</v>
      </c>
    </row>
    <row r="43" spans="1:12" x14ac:dyDescent="0.3">
      <c r="A43" t="s">
        <v>25</v>
      </c>
      <c r="B43" t="s">
        <v>55</v>
      </c>
      <c r="C43" t="s">
        <v>34</v>
      </c>
      <c r="D43" t="s">
        <v>35</v>
      </c>
      <c r="E43" t="s">
        <v>56</v>
      </c>
      <c r="F43">
        <v>1</v>
      </c>
      <c r="G43">
        <v>13</v>
      </c>
      <c r="H43">
        <v>27</v>
      </c>
      <c r="I43">
        <v>3</v>
      </c>
      <c r="J43">
        <v>12</v>
      </c>
      <c r="K43">
        <v>0.2307692308</v>
      </c>
      <c r="L43">
        <v>0.375</v>
      </c>
    </row>
    <row r="44" spans="1:12" x14ac:dyDescent="0.3">
      <c r="A44" t="s">
        <v>25</v>
      </c>
      <c r="B44" t="s">
        <v>111</v>
      </c>
      <c r="C44" t="s">
        <v>14</v>
      </c>
      <c r="D44" t="s">
        <v>109</v>
      </c>
      <c r="E44" t="s">
        <v>110</v>
      </c>
      <c r="F44">
        <v>1</v>
      </c>
      <c r="G44">
        <v>133</v>
      </c>
      <c r="H44">
        <v>419</v>
      </c>
      <c r="I44">
        <v>13</v>
      </c>
      <c r="J44">
        <v>36</v>
      </c>
      <c r="K44">
        <v>9.7744360899999994E-2</v>
      </c>
      <c r="L44">
        <v>0.17808219180000001</v>
      </c>
    </row>
    <row r="45" spans="1:12" x14ac:dyDescent="0.3">
      <c r="A45" t="s">
        <v>25</v>
      </c>
      <c r="B45" t="s">
        <v>112</v>
      </c>
      <c r="C45" t="s">
        <v>14</v>
      </c>
      <c r="D45" t="s">
        <v>109</v>
      </c>
      <c r="E45" t="s">
        <v>110</v>
      </c>
      <c r="F45">
        <v>1</v>
      </c>
      <c r="G45">
        <v>133</v>
      </c>
      <c r="H45">
        <v>417</v>
      </c>
      <c r="I45">
        <v>2</v>
      </c>
      <c r="J45">
        <v>8</v>
      </c>
      <c r="K45">
        <v>1.503759398E-2</v>
      </c>
      <c r="L45">
        <v>2.9629629630000001E-2</v>
      </c>
    </row>
    <row r="46" spans="1:12" x14ac:dyDescent="0.3">
      <c r="A46" t="s">
        <v>25</v>
      </c>
      <c r="B46" t="s">
        <v>207</v>
      </c>
      <c r="C46" t="s">
        <v>34</v>
      </c>
      <c r="D46" t="s">
        <v>35</v>
      </c>
      <c r="E46" t="s">
        <v>208</v>
      </c>
      <c r="F46">
        <v>1</v>
      </c>
      <c r="G46">
        <v>13</v>
      </c>
      <c r="H46">
        <v>32</v>
      </c>
      <c r="I46">
        <v>2</v>
      </c>
      <c r="J46">
        <v>2</v>
      </c>
      <c r="K46">
        <v>0.1538461538</v>
      </c>
      <c r="L46">
        <v>0.2666666667</v>
      </c>
    </row>
    <row r="47" spans="1:12" x14ac:dyDescent="0.3">
      <c r="A47" t="s">
        <v>25</v>
      </c>
      <c r="B47" t="s">
        <v>192</v>
      </c>
      <c r="C47" t="s">
        <v>189</v>
      </c>
      <c r="D47" t="s">
        <v>190</v>
      </c>
      <c r="E47" t="s">
        <v>191</v>
      </c>
      <c r="F47">
        <v>1</v>
      </c>
      <c r="G47">
        <v>28</v>
      </c>
      <c r="H47">
        <v>74</v>
      </c>
      <c r="I47">
        <v>11</v>
      </c>
      <c r="J47">
        <v>30</v>
      </c>
      <c r="K47">
        <v>0.39285714290000001</v>
      </c>
      <c r="L47">
        <v>0.56410256410000004</v>
      </c>
    </row>
    <row r="48" spans="1:12" x14ac:dyDescent="0.3">
      <c r="A48" t="s">
        <v>25</v>
      </c>
      <c r="B48" t="s">
        <v>209</v>
      </c>
      <c r="C48" t="s">
        <v>34</v>
      </c>
      <c r="D48" t="s">
        <v>35</v>
      </c>
      <c r="E48" t="s">
        <v>210</v>
      </c>
      <c r="F48">
        <v>1</v>
      </c>
      <c r="G48">
        <v>13</v>
      </c>
      <c r="H48">
        <v>32</v>
      </c>
      <c r="I48">
        <v>2</v>
      </c>
      <c r="J48">
        <v>2</v>
      </c>
      <c r="K48">
        <v>0.1538461538</v>
      </c>
      <c r="L48">
        <v>0.2666666667</v>
      </c>
    </row>
    <row r="49" spans="1:12" x14ac:dyDescent="0.3">
      <c r="A49" t="s">
        <v>25</v>
      </c>
      <c r="B49" t="s">
        <v>57</v>
      </c>
      <c r="C49" t="s">
        <v>58</v>
      </c>
      <c r="D49" t="s">
        <v>59</v>
      </c>
      <c r="E49" t="s">
        <v>60</v>
      </c>
      <c r="F49">
        <v>1</v>
      </c>
      <c r="G49">
        <v>40</v>
      </c>
      <c r="H49">
        <v>145</v>
      </c>
      <c r="I49">
        <v>1</v>
      </c>
      <c r="J49">
        <v>3</v>
      </c>
      <c r="K49">
        <v>2.5000000000000001E-2</v>
      </c>
      <c r="L49">
        <v>4.8780487800000001E-2</v>
      </c>
    </row>
    <row r="50" spans="1:12" x14ac:dyDescent="0.3">
      <c r="A50" t="s">
        <v>25</v>
      </c>
      <c r="B50" t="s">
        <v>242</v>
      </c>
      <c r="C50" t="s">
        <v>14</v>
      </c>
      <c r="D50" t="s">
        <v>109</v>
      </c>
      <c r="E50" t="s">
        <v>243</v>
      </c>
      <c r="F50">
        <v>1</v>
      </c>
      <c r="G50">
        <v>142</v>
      </c>
      <c r="H50">
        <v>371</v>
      </c>
      <c r="I50">
        <v>26</v>
      </c>
      <c r="J50">
        <v>57</v>
      </c>
      <c r="K50">
        <v>0.18309859149999999</v>
      </c>
      <c r="L50">
        <v>0.30952380950000002</v>
      </c>
    </row>
    <row r="51" spans="1:12" x14ac:dyDescent="0.3">
      <c r="A51" t="s">
        <v>87</v>
      </c>
      <c r="B51" t="s">
        <v>164</v>
      </c>
      <c r="C51" t="s">
        <v>165</v>
      </c>
      <c r="D51" t="s">
        <v>166</v>
      </c>
      <c r="E51" t="s">
        <v>167</v>
      </c>
      <c r="F51">
        <v>1</v>
      </c>
      <c r="G51">
        <v>12</v>
      </c>
      <c r="H51">
        <v>37</v>
      </c>
      <c r="I51">
        <v>11</v>
      </c>
      <c r="J51">
        <v>23</v>
      </c>
      <c r="K51">
        <v>0.91666666669999997</v>
      </c>
      <c r="L51">
        <v>0.95652173910000005</v>
      </c>
    </row>
    <row r="52" spans="1:12" x14ac:dyDescent="0.3">
      <c r="A52" t="s">
        <v>87</v>
      </c>
      <c r="B52" t="s">
        <v>158</v>
      </c>
      <c r="C52" t="s">
        <v>14</v>
      </c>
      <c r="D52" t="s">
        <v>159</v>
      </c>
      <c r="E52" t="s">
        <v>160</v>
      </c>
      <c r="F52">
        <v>1</v>
      </c>
      <c r="G52">
        <v>311</v>
      </c>
      <c r="H52">
        <v>981</v>
      </c>
      <c r="I52">
        <v>18</v>
      </c>
      <c r="J52">
        <v>69</v>
      </c>
      <c r="K52">
        <v>5.78778135E-2</v>
      </c>
      <c r="L52">
        <v>0.1094224924</v>
      </c>
    </row>
    <row r="53" spans="1:12" x14ac:dyDescent="0.3">
      <c r="A53" t="s">
        <v>87</v>
      </c>
      <c r="B53" t="s">
        <v>239</v>
      </c>
      <c r="C53" t="s">
        <v>240</v>
      </c>
      <c r="D53" t="s">
        <v>240</v>
      </c>
      <c r="E53" t="s">
        <v>241</v>
      </c>
      <c r="F53">
        <v>1</v>
      </c>
      <c r="G53">
        <v>211</v>
      </c>
      <c r="H53">
        <v>616</v>
      </c>
      <c r="I53">
        <v>70</v>
      </c>
      <c r="J53">
        <v>114</v>
      </c>
      <c r="K53">
        <v>0.33175355449999999</v>
      </c>
      <c r="L53">
        <v>0.49822064059999999</v>
      </c>
    </row>
    <row r="54" spans="1:12" x14ac:dyDescent="0.3">
      <c r="A54" t="s">
        <v>87</v>
      </c>
      <c r="B54" t="s">
        <v>253</v>
      </c>
      <c r="C54" t="s">
        <v>254</v>
      </c>
      <c r="D54" t="s">
        <v>255</v>
      </c>
      <c r="E54" t="s">
        <v>256</v>
      </c>
      <c r="F54">
        <v>1</v>
      </c>
      <c r="G54">
        <v>9</v>
      </c>
      <c r="H54">
        <v>23</v>
      </c>
      <c r="I54">
        <v>7</v>
      </c>
      <c r="J54">
        <v>21</v>
      </c>
      <c r="K54">
        <v>0.77777777780000001</v>
      </c>
      <c r="L54">
        <v>0.875</v>
      </c>
    </row>
    <row r="55" spans="1:12" x14ac:dyDescent="0.3">
      <c r="A55" t="s">
        <v>87</v>
      </c>
      <c r="B55" t="s">
        <v>275</v>
      </c>
      <c r="C55" t="s">
        <v>14</v>
      </c>
      <c r="D55" t="s">
        <v>118</v>
      </c>
      <c r="E55" t="s">
        <v>276</v>
      </c>
      <c r="F55">
        <v>1</v>
      </c>
      <c r="G55">
        <v>132</v>
      </c>
      <c r="H55">
        <v>392</v>
      </c>
      <c r="I55">
        <v>1</v>
      </c>
      <c r="J55">
        <v>1</v>
      </c>
      <c r="K55">
        <v>7.5757575760000001E-3</v>
      </c>
      <c r="L55">
        <v>1.503759398E-2</v>
      </c>
    </row>
    <row r="56" spans="1:12" x14ac:dyDescent="0.3">
      <c r="A56" t="s">
        <v>87</v>
      </c>
      <c r="B56" t="s">
        <v>257</v>
      </c>
      <c r="C56" t="s">
        <v>14</v>
      </c>
      <c r="D56" t="s">
        <v>118</v>
      </c>
      <c r="E56" t="s">
        <v>258</v>
      </c>
      <c r="F56">
        <v>1</v>
      </c>
      <c r="G56">
        <v>403</v>
      </c>
      <c r="H56">
        <v>1109</v>
      </c>
      <c r="I56">
        <v>1</v>
      </c>
      <c r="J56">
        <v>1</v>
      </c>
      <c r="K56">
        <v>2.4813895779999999E-3</v>
      </c>
      <c r="L56">
        <v>4.9504950499999999E-3</v>
      </c>
    </row>
    <row r="57" spans="1:12" x14ac:dyDescent="0.3">
      <c r="A57" t="s">
        <v>87</v>
      </c>
      <c r="B57" t="s">
        <v>283</v>
      </c>
      <c r="C57" t="s">
        <v>14</v>
      </c>
      <c r="D57" t="s">
        <v>205</v>
      </c>
      <c r="E57" t="s">
        <v>284</v>
      </c>
      <c r="F57">
        <v>1</v>
      </c>
      <c r="G57">
        <v>811</v>
      </c>
      <c r="H57">
        <v>1710</v>
      </c>
      <c r="I57">
        <v>9</v>
      </c>
      <c r="J57">
        <v>12</v>
      </c>
      <c r="K57">
        <v>1.10974106E-2</v>
      </c>
      <c r="L57">
        <v>2.1951219510000002E-2</v>
      </c>
    </row>
    <row r="58" spans="1:12" x14ac:dyDescent="0.3">
      <c r="A58" t="s">
        <v>12</v>
      </c>
      <c r="B58" t="s">
        <v>37</v>
      </c>
      <c r="C58" t="s">
        <v>38</v>
      </c>
      <c r="D58" t="s">
        <v>38</v>
      </c>
      <c r="E58">
        <v>4.4000000000000004</v>
      </c>
      <c r="F58">
        <v>0</v>
      </c>
      <c r="G58">
        <v>556</v>
      </c>
      <c r="H58">
        <v>1070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12</v>
      </c>
      <c r="B59" t="s">
        <v>99</v>
      </c>
      <c r="C59" t="s">
        <v>48</v>
      </c>
      <c r="D59" t="s">
        <v>49</v>
      </c>
      <c r="E59" t="s">
        <v>100</v>
      </c>
      <c r="F59">
        <v>0</v>
      </c>
      <c r="G59">
        <v>7</v>
      </c>
      <c r="H59">
        <v>25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12</v>
      </c>
      <c r="B60" t="s">
        <v>74</v>
      </c>
      <c r="C60" t="s">
        <v>75</v>
      </c>
      <c r="D60" t="s">
        <v>75</v>
      </c>
      <c r="E60" t="s">
        <v>76</v>
      </c>
      <c r="F60">
        <v>0</v>
      </c>
      <c r="G60">
        <v>372</v>
      </c>
      <c r="H60">
        <v>726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12</v>
      </c>
      <c r="B61" t="s">
        <v>92</v>
      </c>
      <c r="C61" t="s">
        <v>93</v>
      </c>
      <c r="D61" t="s">
        <v>94</v>
      </c>
      <c r="E61" t="s">
        <v>95</v>
      </c>
      <c r="F61">
        <v>0</v>
      </c>
      <c r="G61">
        <v>165</v>
      </c>
      <c r="H61">
        <v>416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12</v>
      </c>
      <c r="B62" t="s">
        <v>61</v>
      </c>
      <c r="C62" t="s">
        <v>62</v>
      </c>
      <c r="D62" t="s">
        <v>63</v>
      </c>
      <c r="E62" t="s">
        <v>64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42</v>
      </c>
      <c r="L62">
        <v>0</v>
      </c>
    </row>
    <row r="63" spans="1:12" x14ac:dyDescent="0.3">
      <c r="A63" t="s">
        <v>12</v>
      </c>
      <c r="B63" t="s">
        <v>130</v>
      </c>
      <c r="C63" t="s">
        <v>14</v>
      </c>
      <c r="D63" t="s">
        <v>131</v>
      </c>
      <c r="E63" t="s">
        <v>132</v>
      </c>
      <c r="F63">
        <v>0</v>
      </c>
      <c r="G63">
        <v>293</v>
      </c>
      <c r="H63">
        <v>675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12</v>
      </c>
      <c r="B64" t="s">
        <v>156</v>
      </c>
      <c r="C64" t="s">
        <v>44</v>
      </c>
      <c r="D64" t="s">
        <v>157</v>
      </c>
      <c r="E64">
        <v>2.6</v>
      </c>
      <c r="F64">
        <v>0</v>
      </c>
      <c r="G64">
        <v>31</v>
      </c>
      <c r="H64">
        <v>89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12</v>
      </c>
      <c r="B65" t="s">
        <v>188</v>
      </c>
      <c r="C65" t="s">
        <v>189</v>
      </c>
      <c r="D65" t="s">
        <v>190</v>
      </c>
      <c r="E65" t="s">
        <v>191</v>
      </c>
      <c r="F65">
        <v>0</v>
      </c>
      <c r="G65">
        <v>52</v>
      </c>
      <c r="H65">
        <v>98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12</v>
      </c>
      <c r="B66" t="s">
        <v>193</v>
      </c>
      <c r="C66" t="s">
        <v>194</v>
      </c>
      <c r="D66" t="s">
        <v>195</v>
      </c>
      <c r="E66" t="s">
        <v>196</v>
      </c>
      <c r="F66">
        <v>0</v>
      </c>
      <c r="G66">
        <v>77</v>
      </c>
      <c r="H66">
        <v>175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12</v>
      </c>
      <c r="B67" t="s">
        <v>197</v>
      </c>
      <c r="C67" t="s">
        <v>172</v>
      </c>
      <c r="D67" t="s">
        <v>198</v>
      </c>
      <c r="E67" t="s">
        <v>199</v>
      </c>
      <c r="F67">
        <v>0</v>
      </c>
      <c r="G67">
        <v>7</v>
      </c>
      <c r="H67">
        <v>12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12</v>
      </c>
      <c r="B68" t="s">
        <v>184</v>
      </c>
      <c r="C68" t="s">
        <v>185</v>
      </c>
      <c r="D68" t="s">
        <v>186</v>
      </c>
      <c r="E68" t="s">
        <v>187</v>
      </c>
      <c r="F68">
        <v>0</v>
      </c>
      <c r="G68">
        <v>2</v>
      </c>
      <c r="H68">
        <v>2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12</v>
      </c>
      <c r="B69" t="s">
        <v>223</v>
      </c>
      <c r="C69" t="s">
        <v>224</v>
      </c>
      <c r="D69" t="s">
        <v>225</v>
      </c>
      <c r="E69" t="s">
        <v>226</v>
      </c>
      <c r="F69">
        <v>0</v>
      </c>
      <c r="G69">
        <v>6</v>
      </c>
      <c r="H69">
        <v>12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12</v>
      </c>
      <c r="B70" t="s">
        <v>204</v>
      </c>
      <c r="C70" t="s">
        <v>14</v>
      </c>
      <c r="D70" t="s">
        <v>205</v>
      </c>
      <c r="E70" t="s">
        <v>206</v>
      </c>
      <c r="F70">
        <v>0</v>
      </c>
      <c r="G70">
        <v>211</v>
      </c>
      <c r="H70">
        <v>632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12</v>
      </c>
      <c r="B71" t="s">
        <v>221</v>
      </c>
      <c r="C71" t="s">
        <v>14</v>
      </c>
      <c r="D71" t="s">
        <v>205</v>
      </c>
      <c r="E71" t="s">
        <v>222</v>
      </c>
      <c r="F71">
        <v>0</v>
      </c>
      <c r="G71">
        <v>226</v>
      </c>
      <c r="H71">
        <v>679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12</v>
      </c>
      <c r="B72" t="s">
        <v>265</v>
      </c>
      <c r="C72" t="s">
        <v>14</v>
      </c>
      <c r="D72" t="s">
        <v>266</v>
      </c>
      <c r="E72" t="s">
        <v>267</v>
      </c>
      <c r="F72">
        <v>0</v>
      </c>
      <c r="G72">
        <v>15</v>
      </c>
      <c r="H72">
        <v>48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12</v>
      </c>
      <c r="B73" t="s">
        <v>285</v>
      </c>
      <c r="C73" t="s">
        <v>14</v>
      </c>
      <c r="D73" t="s">
        <v>286</v>
      </c>
      <c r="E73" t="s">
        <v>287</v>
      </c>
      <c r="F73">
        <v>0</v>
      </c>
      <c r="G73">
        <v>16</v>
      </c>
      <c r="H73">
        <v>42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>
        <v>0</v>
      </c>
      <c r="G74">
        <v>5</v>
      </c>
      <c r="H74">
        <v>11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17</v>
      </c>
      <c r="B75" t="s">
        <v>136</v>
      </c>
      <c r="C75" t="s">
        <v>19</v>
      </c>
      <c r="D75" t="s">
        <v>20</v>
      </c>
      <c r="E75" t="s">
        <v>137</v>
      </c>
      <c r="F75">
        <v>0</v>
      </c>
      <c r="G75">
        <v>18</v>
      </c>
      <c r="H75">
        <v>37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17</v>
      </c>
      <c r="B76" t="s">
        <v>22</v>
      </c>
      <c r="C76" t="s">
        <v>14</v>
      </c>
      <c r="D76" t="s">
        <v>23</v>
      </c>
      <c r="E76" t="s">
        <v>24</v>
      </c>
      <c r="F76">
        <v>0</v>
      </c>
      <c r="G76">
        <v>97</v>
      </c>
      <c r="H76">
        <v>191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25</v>
      </c>
      <c r="B77" t="s">
        <v>33</v>
      </c>
      <c r="C77" t="s">
        <v>34</v>
      </c>
      <c r="D77" t="s">
        <v>35</v>
      </c>
      <c r="E77" t="s">
        <v>36</v>
      </c>
      <c r="F77">
        <v>0</v>
      </c>
      <c r="G77">
        <v>13</v>
      </c>
      <c r="H77">
        <v>27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25</v>
      </c>
      <c r="B78" t="s">
        <v>108</v>
      </c>
      <c r="C78" t="s">
        <v>14</v>
      </c>
      <c r="D78" t="s">
        <v>109</v>
      </c>
      <c r="E78" t="s">
        <v>110</v>
      </c>
      <c r="F78">
        <v>0</v>
      </c>
      <c r="G78">
        <v>133</v>
      </c>
      <c r="H78">
        <v>419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25</v>
      </c>
      <c r="B79" t="s">
        <v>113</v>
      </c>
      <c r="C79" t="s">
        <v>114</v>
      </c>
      <c r="D79" t="s">
        <v>115</v>
      </c>
      <c r="E79" t="s">
        <v>116</v>
      </c>
      <c r="F79">
        <v>0</v>
      </c>
      <c r="G79">
        <v>9</v>
      </c>
      <c r="H79">
        <v>19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25</v>
      </c>
      <c r="B80" t="s">
        <v>138</v>
      </c>
      <c r="C80" t="s">
        <v>139</v>
      </c>
      <c r="D80" t="s">
        <v>140</v>
      </c>
      <c r="E80" t="s">
        <v>141</v>
      </c>
      <c r="F80">
        <v>0</v>
      </c>
      <c r="G80">
        <v>6</v>
      </c>
      <c r="H80">
        <v>6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25</v>
      </c>
      <c r="B81" t="s">
        <v>126</v>
      </c>
      <c r="C81" t="s">
        <v>127</v>
      </c>
      <c r="D81" t="s">
        <v>128</v>
      </c>
      <c r="E81" t="s">
        <v>129</v>
      </c>
      <c r="F81">
        <v>0</v>
      </c>
      <c r="G81">
        <v>5</v>
      </c>
      <c r="H81">
        <v>18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25</v>
      </c>
      <c r="B82" t="s">
        <v>171</v>
      </c>
      <c r="C82" t="s">
        <v>172</v>
      </c>
      <c r="D82" t="s">
        <v>173</v>
      </c>
      <c r="E82" t="s">
        <v>174</v>
      </c>
      <c r="F82">
        <v>0</v>
      </c>
      <c r="G82">
        <v>191</v>
      </c>
      <c r="H82">
        <v>499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25</v>
      </c>
      <c r="B83" t="s">
        <v>26</v>
      </c>
      <c r="C83" t="s">
        <v>27</v>
      </c>
      <c r="D83" t="s">
        <v>27</v>
      </c>
      <c r="E83" t="s">
        <v>28</v>
      </c>
      <c r="F83">
        <v>0</v>
      </c>
      <c r="G83">
        <v>93</v>
      </c>
      <c r="H83">
        <v>234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25</v>
      </c>
      <c r="B84" t="s">
        <v>39</v>
      </c>
      <c r="C84" t="s">
        <v>14</v>
      </c>
      <c r="D84" t="s">
        <v>40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42</v>
      </c>
      <c r="L84">
        <v>0</v>
      </c>
    </row>
    <row r="85" spans="1:12" x14ac:dyDescent="0.3">
      <c r="A85" t="s">
        <v>25</v>
      </c>
      <c r="B85" t="s">
        <v>271</v>
      </c>
      <c r="C85" t="s">
        <v>194</v>
      </c>
      <c r="D85" t="s">
        <v>195</v>
      </c>
      <c r="E85" t="s">
        <v>272</v>
      </c>
      <c r="F85">
        <v>0</v>
      </c>
      <c r="G85">
        <v>63</v>
      </c>
      <c r="H85">
        <v>123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25</v>
      </c>
      <c r="B86" t="s">
        <v>259</v>
      </c>
      <c r="C86" t="s">
        <v>260</v>
      </c>
      <c r="D86" t="s">
        <v>260</v>
      </c>
      <c r="E86" t="s">
        <v>261</v>
      </c>
      <c r="F86">
        <v>0</v>
      </c>
      <c r="G86">
        <v>2</v>
      </c>
      <c r="H86">
        <v>5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25</v>
      </c>
      <c r="B87" t="s">
        <v>277</v>
      </c>
      <c r="C87" t="s">
        <v>194</v>
      </c>
      <c r="D87" t="s">
        <v>278</v>
      </c>
      <c r="E87" t="s">
        <v>252</v>
      </c>
      <c r="F87">
        <v>0</v>
      </c>
      <c r="G87">
        <v>93</v>
      </c>
      <c r="H87">
        <v>351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87</v>
      </c>
      <c r="B88" t="s">
        <v>88</v>
      </c>
      <c r="C88" t="s">
        <v>89</v>
      </c>
      <c r="D88" t="s">
        <v>90</v>
      </c>
      <c r="E88" t="s">
        <v>91</v>
      </c>
      <c r="F88">
        <v>0</v>
      </c>
      <c r="G88">
        <v>187</v>
      </c>
      <c r="H88">
        <v>270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87</v>
      </c>
      <c r="B89" t="s">
        <v>106</v>
      </c>
      <c r="C89" t="s">
        <v>14</v>
      </c>
      <c r="D89" t="s">
        <v>23</v>
      </c>
      <c r="E89" t="s">
        <v>107</v>
      </c>
      <c r="F89">
        <v>0</v>
      </c>
      <c r="G89">
        <v>293</v>
      </c>
      <c r="H89">
        <v>713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87</v>
      </c>
      <c r="B90" t="s">
        <v>133</v>
      </c>
      <c r="C90" t="s">
        <v>14</v>
      </c>
      <c r="D90" t="s">
        <v>134</v>
      </c>
      <c r="E90" t="s">
        <v>135</v>
      </c>
      <c r="F90">
        <v>0</v>
      </c>
      <c r="G90">
        <v>827</v>
      </c>
      <c r="H90">
        <v>2232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87</v>
      </c>
      <c r="B91" t="s">
        <v>124</v>
      </c>
      <c r="C91" t="s">
        <v>14</v>
      </c>
      <c r="D91" t="s">
        <v>23</v>
      </c>
      <c r="E91" t="s">
        <v>125</v>
      </c>
      <c r="F91">
        <v>0</v>
      </c>
      <c r="G91">
        <v>184</v>
      </c>
      <c r="H91">
        <v>467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87</v>
      </c>
      <c r="B92" t="s">
        <v>180</v>
      </c>
      <c r="C92" t="s">
        <v>181</v>
      </c>
      <c r="D92" t="s">
        <v>182</v>
      </c>
      <c r="E92" t="s">
        <v>183</v>
      </c>
      <c r="F92">
        <v>0</v>
      </c>
      <c r="G92">
        <v>689</v>
      </c>
      <c r="H92">
        <v>2052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87</v>
      </c>
      <c r="B93" t="s">
        <v>161</v>
      </c>
      <c r="C93" t="s">
        <v>14</v>
      </c>
      <c r="D93" t="s">
        <v>162</v>
      </c>
      <c r="E93" t="s">
        <v>163</v>
      </c>
      <c r="F93">
        <v>0</v>
      </c>
      <c r="G93">
        <v>106</v>
      </c>
      <c r="H93">
        <v>285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87</v>
      </c>
      <c r="B94" t="s">
        <v>168</v>
      </c>
      <c r="C94" t="s">
        <v>169</v>
      </c>
      <c r="D94" t="s">
        <v>151</v>
      </c>
      <c r="E94" t="s">
        <v>170</v>
      </c>
      <c r="F94">
        <v>0</v>
      </c>
      <c r="G94">
        <v>221</v>
      </c>
      <c r="H94">
        <v>590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87</v>
      </c>
      <c r="B95" t="s">
        <v>235</v>
      </c>
      <c r="C95" t="s">
        <v>44</v>
      </c>
      <c r="D95" t="s">
        <v>236</v>
      </c>
      <c r="E95">
        <v>1.9</v>
      </c>
      <c r="F95">
        <v>0</v>
      </c>
      <c r="G95">
        <v>31</v>
      </c>
      <c r="H95">
        <v>96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87</v>
      </c>
      <c r="B96" t="s">
        <v>262</v>
      </c>
      <c r="C96" t="s">
        <v>44</v>
      </c>
      <c r="D96" t="s">
        <v>263</v>
      </c>
      <c r="E96" t="s">
        <v>264</v>
      </c>
      <c r="F96">
        <v>0</v>
      </c>
      <c r="G96">
        <v>1594</v>
      </c>
      <c r="H96">
        <v>3739</v>
      </c>
      <c r="I96">
        <v>0</v>
      </c>
      <c r="J96">
        <v>0</v>
      </c>
      <c r="K96">
        <v>0</v>
      </c>
      <c r="L96">
        <v>0</v>
      </c>
    </row>
  </sheetData>
  <sortState xmlns:xlrd2="http://schemas.microsoft.com/office/spreadsheetml/2017/richdata2" ref="A2:L96">
    <sortCondition descending="1" ref="F1:F96"/>
  </sortState>
  <phoneticPr fontId="19" type="noConversion"/>
  <conditionalFormatting sqref="B1:B1048576">
    <cfRule type="duplicateValues" dxfId="7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FADF-3391-4AC9-B0EC-FBB5DB9DB460}">
  <dimension ref="A1:L96"/>
  <sheetViews>
    <sheetView workbookViewId="0">
      <selection activeCell="F2" sqref="F2:F41"/>
    </sheetView>
  </sheetViews>
  <sheetFormatPr defaultRowHeight="14" x14ac:dyDescent="0.3"/>
  <cols>
    <col min="1" max="1" width="13.58203125" customWidth="1"/>
    <col min="2" max="2" width="25.33203125" customWidth="1"/>
    <col min="3" max="3" width="21.9140625" customWidth="1"/>
    <col min="4" max="4" width="2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268</v>
      </c>
      <c r="C2" t="s">
        <v>14</v>
      </c>
      <c r="D2" t="s">
        <v>269</v>
      </c>
      <c r="E2" t="s">
        <v>270</v>
      </c>
      <c r="F2">
        <v>1</v>
      </c>
      <c r="G2">
        <v>9</v>
      </c>
      <c r="H2">
        <v>2</v>
      </c>
      <c r="I2">
        <v>2</v>
      </c>
      <c r="J2">
        <v>2</v>
      </c>
      <c r="K2">
        <v>0.22222222220000001</v>
      </c>
      <c r="L2">
        <v>0.36363636360000001</v>
      </c>
    </row>
    <row r="3" spans="1:12" x14ac:dyDescent="0.3">
      <c r="A3" t="s">
        <v>87</v>
      </c>
      <c r="B3" t="s">
        <v>253</v>
      </c>
      <c r="C3" t="s">
        <v>254</v>
      </c>
      <c r="D3" t="s">
        <v>255</v>
      </c>
      <c r="E3" t="s">
        <v>256</v>
      </c>
      <c r="F3">
        <v>1</v>
      </c>
      <c r="G3">
        <v>8</v>
      </c>
      <c r="H3">
        <v>5</v>
      </c>
      <c r="I3">
        <v>1</v>
      </c>
      <c r="J3">
        <v>1</v>
      </c>
      <c r="K3">
        <v>0.125</v>
      </c>
      <c r="L3">
        <v>0.22222222220000001</v>
      </c>
    </row>
    <row r="4" spans="1:12" x14ac:dyDescent="0.3">
      <c r="A4" t="s">
        <v>87</v>
      </c>
      <c r="B4" t="s">
        <v>239</v>
      </c>
      <c r="C4" t="s">
        <v>240</v>
      </c>
      <c r="D4" t="s">
        <v>240</v>
      </c>
      <c r="E4" t="s">
        <v>241</v>
      </c>
      <c r="F4">
        <v>1</v>
      </c>
      <c r="G4">
        <v>313</v>
      </c>
      <c r="H4">
        <v>543</v>
      </c>
      <c r="I4">
        <v>35</v>
      </c>
      <c r="J4">
        <v>53</v>
      </c>
      <c r="K4">
        <v>0.1118210863</v>
      </c>
      <c r="L4">
        <v>0.20114942529999999</v>
      </c>
    </row>
    <row r="5" spans="1:12" x14ac:dyDescent="0.3">
      <c r="A5" t="s">
        <v>25</v>
      </c>
      <c r="B5" t="s">
        <v>237</v>
      </c>
      <c r="C5" t="s">
        <v>27</v>
      </c>
      <c r="D5" t="s">
        <v>27</v>
      </c>
      <c r="E5" t="s">
        <v>238</v>
      </c>
      <c r="F5">
        <v>1</v>
      </c>
      <c r="G5">
        <v>1077</v>
      </c>
      <c r="H5">
        <v>1</v>
      </c>
      <c r="I5">
        <v>1</v>
      </c>
      <c r="J5">
        <v>1</v>
      </c>
      <c r="K5">
        <v>9.2850510679999998E-4</v>
      </c>
      <c r="L5">
        <v>1.8552875700000001E-3</v>
      </c>
    </row>
    <row r="6" spans="1:12" x14ac:dyDescent="0.3">
      <c r="A6" t="s">
        <v>12</v>
      </c>
      <c r="B6" t="s">
        <v>233</v>
      </c>
      <c r="C6" t="s">
        <v>52</v>
      </c>
      <c r="D6" t="s">
        <v>53</v>
      </c>
      <c r="E6" t="s">
        <v>234</v>
      </c>
      <c r="F6">
        <v>1</v>
      </c>
      <c r="G6">
        <v>17</v>
      </c>
      <c r="H6">
        <v>27</v>
      </c>
      <c r="I6">
        <v>1</v>
      </c>
      <c r="J6">
        <v>1</v>
      </c>
      <c r="K6">
        <v>5.8823529409999999E-2</v>
      </c>
      <c r="L6">
        <v>0.11111111110000001</v>
      </c>
    </row>
    <row r="7" spans="1:12" x14ac:dyDescent="0.3">
      <c r="A7" t="s">
        <v>25</v>
      </c>
      <c r="B7" t="s">
        <v>232</v>
      </c>
      <c r="C7" t="s">
        <v>27</v>
      </c>
      <c r="D7" t="s">
        <v>27</v>
      </c>
      <c r="E7" t="s">
        <v>176</v>
      </c>
      <c r="F7">
        <v>1</v>
      </c>
      <c r="G7">
        <v>834</v>
      </c>
      <c r="H7">
        <v>11</v>
      </c>
      <c r="I7">
        <v>8</v>
      </c>
      <c r="J7">
        <v>11</v>
      </c>
      <c r="K7">
        <v>9.5923261390000007E-3</v>
      </c>
      <c r="L7">
        <v>1.9002375299999999E-2</v>
      </c>
    </row>
    <row r="8" spans="1:12" x14ac:dyDescent="0.3">
      <c r="A8" t="s">
        <v>12</v>
      </c>
      <c r="B8" t="s">
        <v>229</v>
      </c>
      <c r="C8" t="s">
        <v>230</v>
      </c>
      <c r="D8" t="s">
        <v>231</v>
      </c>
      <c r="E8">
        <v>7.5</v>
      </c>
      <c r="F8">
        <v>1</v>
      </c>
      <c r="G8">
        <v>5</v>
      </c>
      <c r="H8">
        <v>9</v>
      </c>
      <c r="I8">
        <v>5</v>
      </c>
      <c r="J8">
        <v>9</v>
      </c>
      <c r="K8">
        <v>1</v>
      </c>
      <c r="L8">
        <v>1</v>
      </c>
    </row>
    <row r="9" spans="1:12" x14ac:dyDescent="0.3">
      <c r="A9" t="s">
        <v>12</v>
      </c>
      <c r="B9" t="s">
        <v>227</v>
      </c>
      <c r="C9" t="s">
        <v>27</v>
      </c>
      <c r="D9" t="s">
        <v>27</v>
      </c>
      <c r="E9" t="s">
        <v>228</v>
      </c>
      <c r="F9">
        <v>1</v>
      </c>
      <c r="G9">
        <v>5</v>
      </c>
      <c r="H9">
        <v>1</v>
      </c>
      <c r="I9">
        <v>1</v>
      </c>
      <c r="J9">
        <v>1</v>
      </c>
      <c r="K9">
        <v>0.2</v>
      </c>
      <c r="L9">
        <v>0.33333333329999998</v>
      </c>
    </row>
    <row r="10" spans="1:12" x14ac:dyDescent="0.3">
      <c r="A10" t="s">
        <v>12</v>
      </c>
      <c r="B10" t="s">
        <v>218</v>
      </c>
      <c r="C10" t="s">
        <v>14</v>
      </c>
      <c r="D10" t="s">
        <v>219</v>
      </c>
      <c r="E10" t="s">
        <v>220</v>
      </c>
      <c r="F10">
        <v>1</v>
      </c>
      <c r="G10">
        <v>36</v>
      </c>
      <c r="H10">
        <v>45</v>
      </c>
      <c r="I10">
        <v>33</v>
      </c>
      <c r="J10">
        <v>45</v>
      </c>
      <c r="K10">
        <v>0.91666666669999997</v>
      </c>
      <c r="L10">
        <v>0.95652173910000005</v>
      </c>
    </row>
    <row r="11" spans="1:12" x14ac:dyDescent="0.3">
      <c r="A11" t="s">
        <v>12</v>
      </c>
      <c r="B11" t="s">
        <v>217</v>
      </c>
      <c r="C11" t="s">
        <v>38</v>
      </c>
      <c r="D11" t="s">
        <v>38</v>
      </c>
      <c r="E11">
        <v>5.0999999999999996</v>
      </c>
      <c r="F11">
        <v>1</v>
      </c>
      <c r="G11">
        <v>763</v>
      </c>
      <c r="H11">
        <v>8</v>
      </c>
      <c r="I11">
        <v>2</v>
      </c>
      <c r="J11">
        <v>6</v>
      </c>
      <c r="K11">
        <v>2.6212319789999999E-3</v>
      </c>
      <c r="L11">
        <v>5.2287581700000002E-3</v>
      </c>
    </row>
    <row r="12" spans="1:12" x14ac:dyDescent="0.3">
      <c r="A12" t="s">
        <v>12</v>
      </c>
      <c r="B12" t="s">
        <v>216</v>
      </c>
      <c r="C12" t="s">
        <v>38</v>
      </c>
      <c r="D12" t="s">
        <v>38</v>
      </c>
      <c r="E12">
        <v>5.0999999999999996</v>
      </c>
      <c r="F12">
        <v>1</v>
      </c>
      <c r="G12">
        <v>728</v>
      </c>
      <c r="H12">
        <v>3</v>
      </c>
      <c r="I12">
        <v>2</v>
      </c>
      <c r="J12">
        <v>3</v>
      </c>
      <c r="K12">
        <v>2.747252747E-3</v>
      </c>
      <c r="L12">
        <v>5.4794520550000003E-3</v>
      </c>
    </row>
    <row r="13" spans="1:12" x14ac:dyDescent="0.3">
      <c r="A13" t="s">
        <v>25</v>
      </c>
      <c r="B13" t="s">
        <v>215</v>
      </c>
      <c r="C13" t="s">
        <v>38</v>
      </c>
      <c r="D13" t="s">
        <v>38</v>
      </c>
      <c r="E13">
        <v>5.0999999999999996</v>
      </c>
      <c r="F13">
        <v>1</v>
      </c>
      <c r="G13">
        <v>623</v>
      </c>
      <c r="H13">
        <v>11</v>
      </c>
      <c r="I13">
        <v>6</v>
      </c>
      <c r="J13">
        <v>11</v>
      </c>
      <c r="K13">
        <v>9.6308186200000003E-3</v>
      </c>
      <c r="L13">
        <v>1.9077901429999999E-2</v>
      </c>
    </row>
    <row r="14" spans="1:12" x14ac:dyDescent="0.3">
      <c r="A14" t="s">
        <v>25</v>
      </c>
      <c r="B14" t="s">
        <v>209</v>
      </c>
      <c r="C14" t="s">
        <v>34</v>
      </c>
      <c r="D14" t="s">
        <v>35</v>
      </c>
      <c r="E14" t="s">
        <v>210</v>
      </c>
      <c r="F14">
        <v>1</v>
      </c>
      <c r="G14">
        <v>17</v>
      </c>
      <c r="H14">
        <v>23</v>
      </c>
      <c r="I14">
        <v>1</v>
      </c>
      <c r="J14">
        <v>1</v>
      </c>
      <c r="K14">
        <v>5.8823529409999999E-2</v>
      </c>
      <c r="L14">
        <v>0.11111111110000001</v>
      </c>
    </row>
    <row r="15" spans="1:12" x14ac:dyDescent="0.3">
      <c r="A15" t="s">
        <v>25</v>
      </c>
      <c r="B15" t="s">
        <v>207</v>
      </c>
      <c r="C15" t="s">
        <v>34</v>
      </c>
      <c r="D15" t="s">
        <v>35</v>
      </c>
      <c r="E15" t="s">
        <v>208</v>
      </c>
      <c r="F15">
        <v>1</v>
      </c>
      <c r="G15">
        <v>17</v>
      </c>
      <c r="H15">
        <v>24</v>
      </c>
      <c r="I15">
        <v>1</v>
      </c>
      <c r="J15">
        <v>1</v>
      </c>
      <c r="K15">
        <v>5.8823529409999999E-2</v>
      </c>
      <c r="L15">
        <v>0.11111111110000001</v>
      </c>
    </row>
    <row r="16" spans="1:12" x14ac:dyDescent="0.3">
      <c r="A16" t="s">
        <v>12</v>
      </c>
      <c r="B16" t="s">
        <v>200</v>
      </c>
      <c r="C16" t="s">
        <v>201</v>
      </c>
      <c r="D16" t="s">
        <v>202</v>
      </c>
      <c r="E16" t="s">
        <v>203</v>
      </c>
      <c r="F16">
        <v>1</v>
      </c>
      <c r="G16">
        <v>26</v>
      </c>
      <c r="H16">
        <v>2</v>
      </c>
      <c r="I16">
        <v>2</v>
      </c>
      <c r="J16">
        <v>2</v>
      </c>
      <c r="K16">
        <v>7.692307692E-2</v>
      </c>
      <c r="L16">
        <v>0.14285714290000001</v>
      </c>
    </row>
    <row r="17" spans="1:12" x14ac:dyDescent="0.3">
      <c r="A17" t="s">
        <v>25</v>
      </c>
      <c r="B17" t="s">
        <v>192</v>
      </c>
      <c r="C17" t="s">
        <v>189</v>
      </c>
      <c r="D17" t="s">
        <v>190</v>
      </c>
      <c r="E17" t="s">
        <v>191</v>
      </c>
      <c r="F17">
        <v>1</v>
      </c>
      <c r="G17">
        <v>2</v>
      </c>
      <c r="H17">
        <v>2</v>
      </c>
      <c r="I17">
        <v>2</v>
      </c>
      <c r="J17">
        <v>2</v>
      </c>
      <c r="K17">
        <v>1</v>
      </c>
      <c r="L17">
        <v>1</v>
      </c>
    </row>
    <row r="18" spans="1:12" x14ac:dyDescent="0.3">
      <c r="A18" t="s">
        <v>12</v>
      </c>
      <c r="B18" t="s">
        <v>177</v>
      </c>
      <c r="C18" t="s">
        <v>44</v>
      </c>
      <c r="D18" t="s">
        <v>178</v>
      </c>
      <c r="E18" t="s">
        <v>179</v>
      </c>
      <c r="F18">
        <v>1</v>
      </c>
      <c r="G18">
        <v>603</v>
      </c>
      <c r="H18">
        <v>2</v>
      </c>
      <c r="I18">
        <v>1</v>
      </c>
      <c r="J18">
        <v>2</v>
      </c>
      <c r="K18">
        <v>1.6583747930000001E-3</v>
      </c>
      <c r="L18">
        <v>3.3112582779999998E-3</v>
      </c>
    </row>
    <row r="19" spans="1:12" x14ac:dyDescent="0.3">
      <c r="A19" t="s">
        <v>25</v>
      </c>
      <c r="B19" t="s">
        <v>175</v>
      </c>
      <c r="C19" t="s">
        <v>27</v>
      </c>
      <c r="D19" t="s">
        <v>27</v>
      </c>
      <c r="E19" t="s">
        <v>176</v>
      </c>
      <c r="F19">
        <v>1</v>
      </c>
      <c r="G19">
        <v>648</v>
      </c>
      <c r="H19">
        <v>2</v>
      </c>
      <c r="I19">
        <v>2</v>
      </c>
      <c r="J19">
        <v>2</v>
      </c>
      <c r="K19">
        <v>3.086419753E-3</v>
      </c>
      <c r="L19">
        <v>6.1538461540000004E-3</v>
      </c>
    </row>
    <row r="20" spans="1:12" x14ac:dyDescent="0.3">
      <c r="A20" t="s">
        <v>87</v>
      </c>
      <c r="B20" t="s">
        <v>164</v>
      </c>
      <c r="C20" t="s">
        <v>165</v>
      </c>
      <c r="D20" t="s">
        <v>166</v>
      </c>
      <c r="E20" t="s">
        <v>167</v>
      </c>
      <c r="F20">
        <v>1</v>
      </c>
      <c r="G20">
        <v>2</v>
      </c>
      <c r="H20">
        <v>7</v>
      </c>
      <c r="I20">
        <v>2</v>
      </c>
      <c r="J20">
        <v>7</v>
      </c>
      <c r="K20">
        <v>1</v>
      </c>
      <c r="L20">
        <v>1</v>
      </c>
    </row>
    <row r="21" spans="1:12" x14ac:dyDescent="0.3">
      <c r="A21" t="s">
        <v>87</v>
      </c>
      <c r="B21" t="s">
        <v>158</v>
      </c>
      <c r="C21" t="s">
        <v>14</v>
      </c>
      <c r="D21" t="s">
        <v>159</v>
      </c>
      <c r="E21" t="s">
        <v>160</v>
      </c>
      <c r="F21">
        <v>1</v>
      </c>
      <c r="G21">
        <v>510</v>
      </c>
      <c r="H21">
        <v>240</v>
      </c>
      <c r="I21">
        <v>7</v>
      </c>
      <c r="J21">
        <v>13</v>
      </c>
      <c r="K21">
        <v>1.3725490200000001E-2</v>
      </c>
      <c r="L21">
        <v>2.707930368E-2</v>
      </c>
    </row>
    <row r="22" spans="1:12" x14ac:dyDescent="0.3">
      <c r="A22" t="s">
        <v>12</v>
      </c>
      <c r="B22" t="s">
        <v>146</v>
      </c>
      <c r="C22" t="s">
        <v>147</v>
      </c>
      <c r="D22" t="s">
        <v>148</v>
      </c>
      <c r="E22" t="s">
        <v>149</v>
      </c>
      <c r="F22">
        <v>1</v>
      </c>
      <c r="G22">
        <v>35</v>
      </c>
      <c r="H22">
        <v>32</v>
      </c>
      <c r="I22">
        <v>1</v>
      </c>
      <c r="J22">
        <v>2</v>
      </c>
      <c r="K22">
        <v>2.8571428570000001E-2</v>
      </c>
      <c r="L22">
        <v>5.5555555559999997E-2</v>
      </c>
    </row>
    <row r="23" spans="1:12" x14ac:dyDescent="0.3">
      <c r="A23" t="s">
        <v>12</v>
      </c>
      <c r="B23" t="s">
        <v>142</v>
      </c>
      <c r="C23" t="s">
        <v>143</v>
      </c>
      <c r="D23" t="s">
        <v>144</v>
      </c>
      <c r="E23" t="s">
        <v>145</v>
      </c>
      <c r="F23">
        <v>1</v>
      </c>
      <c r="G23">
        <v>223</v>
      </c>
      <c r="H23">
        <v>39</v>
      </c>
      <c r="I23">
        <v>1</v>
      </c>
      <c r="J23">
        <v>2</v>
      </c>
      <c r="K23">
        <v>4.4843049329999999E-3</v>
      </c>
      <c r="L23">
        <v>8.9285714290000002E-3</v>
      </c>
    </row>
    <row r="24" spans="1:12" x14ac:dyDescent="0.3">
      <c r="A24" t="s">
        <v>12</v>
      </c>
      <c r="B24" t="s">
        <v>130</v>
      </c>
      <c r="C24" t="s">
        <v>14</v>
      </c>
      <c r="D24" t="s">
        <v>131</v>
      </c>
      <c r="E24" t="s">
        <v>132</v>
      </c>
      <c r="F24">
        <v>1</v>
      </c>
      <c r="G24">
        <v>176</v>
      </c>
      <c r="H24">
        <v>296</v>
      </c>
      <c r="I24">
        <v>1</v>
      </c>
      <c r="J24">
        <v>1</v>
      </c>
      <c r="K24">
        <v>5.6818181820000001E-3</v>
      </c>
      <c r="L24">
        <v>1.1299435030000001E-2</v>
      </c>
    </row>
    <row r="25" spans="1:12" x14ac:dyDescent="0.3">
      <c r="A25" t="s">
        <v>87</v>
      </c>
      <c r="B25" t="s">
        <v>124</v>
      </c>
      <c r="C25" t="s">
        <v>14</v>
      </c>
      <c r="D25" t="s">
        <v>23</v>
      </c>
      <c r="E25" t="s">
        <v>125</v>
      </c>
      <c r="F25">
        <v>1</v>
      </c>
      <c r="G25">
        <v>820</v>
      </c>
      <c r="H25">
        <v>933</v>
      </c>
      <c r="I25">
        <v>1</v>
      </c>
      <c r="J25">
        <v>2</v>
      </c>
      <c r="K25">
        <v>1.2195121949999999E-3</v>
      </c>
      <c r="L25">
        <v>2.4360535929999999E-3</v>
      </c>
    </row>
    <row r="26" spans="1:12" x14ac:dyDescent="0.3">
      <c r="A26" t="s">
        <v>25</v>
      </c>
      <c r="B26" t="s">
        <v>120</v>
      </c>
      <c r="C26" t="s">
        <v>44</v>
      </c>
      <c r="D26" t="s">
        <v>45</v>
      </c>
      <c r="E26" t="s">
        <v>121</v>
      </c>
      <c r="F26">
        <v>1</v>
      </c>
      <c r="G26">
        <v>420</v>
      </c>
      <c r="H26">
        <v>2</v>
      </c>
      <c r="I26">
        <v>1</v>
      </c>
      <c r="J26">
        <v>2</v>
      </c>
      <c r="K26">
        <v>2.3809523810000002E-3</v>
      </c>
      <c r="L26">
        <v>4.7505938240000002E-3</v>
      </c>
    </row>
    <row r="27" spans="1:12" x14ac:dyDescent="0.3">
      <c r="A27" t="s">
        <v>12</v>
      </c>
      <c r="B27" t="s">
        <v>117</v>
      </c>
      <c r="C27" t="s">
        <v>14</v>
      </c>
      <c r="D27" t="s">
        <v>118</v>
      </c>
      <c r="E27" t="s">
        <v>119</v>
      </c>
      <c r="F27">
        <v>1</v>
      </c>
      <c r="G27">
        <v>87</v>
      </c>
      <c r="H27">
        <v>33</v>
      </c>
      <c r="I27">
        <v>1</v>
      </c>
      <c r="J27">
        <v>1</v>
      </c>
      <c r="K27">
        <v>1.1494252870000001E-2</v>
      </c>
      <c r="L27">
        <v>2.2727272730000001E-2</v>
      </c>
    </row>
    <row r="28" spans="1:12" x14ac:dyDescent="0.3">
      <c r="A28" t="s">
        <v>25</v>
      </c>
      <c r="B28" t="s">
        <v>111</v>
      </c>
      <c r="C28" t="s">
        <v>14</v>
      </c>
      <c r="D28" t="s">
        <v>109</v>
      </c>
      <c r="E28" t="s">
        <v>110</v>
      </c>
      <c r="F28">
        <v>1</v>
      </c>
      <c r="G28">
        <v>85</v>
      </c>
      <c r="H28">
        <v>121</v>
      </c>
      <c r="I28">
        <v>1</v>
      </c>
      <c r="J28">
        <v>2</v>
      </c>
      <c r="K28">
        <v>1.176470588E-2</v>
      </c>
      <c r="L28">
        <v>2.3255813949999999E-2</v>
      </c>
    </row>
    <row r="29" spans="1:12" x14ac:dyDescent="0.3">
      <c r="A29" t="s">
        <v>12</v>
      </c>
      <c r="B29" t="s">
        <v>101</v>
      </c>
      <c r="C29" t="s">
        <v>14</v>
      </c>
      <c r="D29" t="s">
        <v>97</v>
      </c>
      <c r="E29" t="s">
        <v>102</v>
      </c>
      <c r="F29">
        <v>1</v>
      </c>
      <c r="G29">
        <v>1085</v>
      </c>
      <c r="H29">
        <v>668</v>
      </c>
      <c r="I29">
        <v>24</v>
      </c>
      <c r="J29">
        <v>26</v>
      </c>
      <c r="K29">
        <v>2.2119815670000001E-2</v>
      </c>
      <c r="L29">
        <v>4.3282236250000002E-2</v>
      </c>
    </row>
    <row r="30" spans="1:12" x14ac:dyDescent="0.3">
      <c r="A30" t="s">
        <v>12</v>
      </c>
      <c r="B30" t="s">
        <v>96</v>
      </c>
      <c r="C30" t="s">
        <v>14</v>
      </c>
      <c r="D30" t="s">
        <v>97</v>
      </c>
      <c r="E30" t="s">
        <v>98</v>
      </c>
      <c r="F30">
        <v>1</v>
      </c>
      <c r="G30">
        <v>2</v>
      </c>
      <c r="H30">
        <v>1</v>
      </c>
      <c r="I30">
        <v>1</v>
      </c>
      <c r="J30">
        <v>1</v>
      </c>
      <c r="K30">
        <v>0.5</v>
      </c>
      <c r="L30">
        <v>0.66666666669999997</v>
      </c>
    </row>
    <row r="31" spans="1:12" x14ac:dyDescent="0.3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>
        <v>1</v>
      </c>
      <c r="G31">
        <v>61</v>
      </c>
      <c r="H31">
        <v>78</v>
      </c>
      <c r="I31">
        <v>1</v>
      </c>
      <c r="J31">
        <v>3</v>
      </c>
      <c r="K31">
        <v>1.639344262E-2</v>
      </c>
      <c r="L31">
        <v>3.2258064519999997E-2</v>
      </c>
    </row>
    <row r="32" spans="1:12" x14ac:dyDescent="0.3">
      <c r="A32" t="s">
        <v>12</v>
      </c>
      <c r="B32" t="s">
        <v>83</v>
      </c>
      <c r="C32" t="s">
        <v>84</v>
      </c>
      <c r="D32" t="s">
        <v>85</v>
      </c>
      <c r="E32" t="s">
        <v>86</v>
      </c>
      <c r="F32">
        <v>1</v>
      </c>
      <c r="G32">
        <v>28</v>
      </c>
      <c r="H32">
        <v>36</v>
      </c>
      <c r="I32">
        <v>1</v>
      </c>
      <c r="J32">
        <v>1</v>
      </c>
      <c r="K32">
        <v>3.5714285710000002E-2</v>
      </c>
      <c r="L32">
        <v>6.8965517239999996E-2</v>
      </c>
    </row>
    <row r="33" spans="1:12" x14ac:dyDescent="0.3">
      <c r="A33" t="s">
        <v>12</v>
      </c>
      <c r="B33" t="s">
        <v>79</v>
      </c>
      <c r="C33" t="s">
        <v>80</v>
      </c>
      <c r="D33" t="s">
        <v>81</v>
      </c>
      <c r="E33" t="s">
        <v>82</v>
      </c>
      <c r="F33">
        <v>1</v>
      </c>
      <c r="G33">
        <v>47</v>
      </c>
      <c r="H33">
        <v>10</v>
      </c>
      <c r="I33">
        <v>7</v>
      </c>
      <c r="J33">
        <v>10</v>
      </c>
      <c r="K33">
        <v>0.1489361702</v>
      </c>
      <c r="L33">
        <v>0.25925925929999999</v>
      </c>
    </row>
    <row r="34" spans="1:12" x14ac:dyDescent="0.3">
      <c r="A34" t="s">
        <v>12</v>
      </c>
      <c r="B34" t="s">
        <v>77</v>
      </c>
      <c r="C34" t="s">
        <v>14</v>
      </c>
      <c r="D34" t="s">
        <v>78</v>
      </c>
      <c r="E34">
        <v>1.18</v>
      </c>
      <c r="F34">
        <v>1</v>
      </c>
      <c r="G34">
        <v>194</v>
      </c>
      <c r="H34">
        <v>179</v>
      </c>
      <c r="I34">
        <v>12</v>
      </c>
      <c r="J34">
        <v>16</v>
      </c>
      <c r="K34">
        <v>6.1855670100000003E-2</v>
      </c>
      <c r="L34">
        <v>0.1165048544</v>
      </c>
    </row>
    <row r="35" spans="1:12" x14ac:dyDescent="0.3">
      <c r="A35" t="s">
        <v>12</v>
      </c>
      <c r="B35" t="s">
        <v>67</v>
      </c>
      <c r="C35" t="s">
        <v>68</v>
      </c>
      <c r="D35" t="s">
        <v>69</v>
      </c>
      <c r="E35">
        <v>1.1200000000000001</v>
      </c>
      <c r="F35">
        <v>1</v>
      </c>
      <c r="G35">
        <v>10</v>
      </c>
      <c r="H35">
        <v>7</v>
      </c>
      <c r="I35">
        <v>1</v>
      </c>
      <c r="J35">
        <v>1</v>
      </c>
      <c r="K35">
        <v>0.1</v>
      </c>
      <c r="L35">
        <v>0.18181818180000001</v>
      </c>
    </row>
    <row r="36" spans="1:12" x14ac:dyDescent="0.3">
      <c r="A36" t="s">
        <v>12</v>
      </c>
      <c r="B36" t="s">
        <v>65</v>
      </c>
      <c r="C36" t="s">
        <v>52</v>
      </c>
      <c r="D36" t="s">
        <v>66</v>
      </c>
      <c r="E36">
        <v>3.5</v>
      </c>
      <c r="F36">
        <v>1</v>
      </c>
      <c r="G36">
        <v>11</v>
      </c>
      <c r="H36">
        <v>5</v>
      </c>
      <c r="I36">
        <v>2</v>
      </c>
      <c r="J36">
        <v>5</v>
      </c>
      <c r="K36">
        <v>0.18181818180000001</v>
      </c>
      <c r="L36">
        <v>0.3076923077</v>
      </c>
    </row>
    <row r="37" spans="1:12" x14ac:dyDescent="0.3">
      <c r="A37" t="s">
        <v>25</v>
      </c>
      <c r="B37" t="s">
        <v>57</v>
      </c>
      <c r="C37" t="s">
        <v>58</v>
      </c>
      <c r="D37" t="s">
        <v>59</v>
      </c>
      <c r="E37" t="s">
        <v>60</v>
      </c>
      <c r="F37">
        <v>1</v>
      </c>
      <c r="G37">
        <v>28</v>
      </c>
      <c r="H37">
        <v>4</v>
      </c>
      <c r="I37">
        <v>2</v>
      </c>
      <c r="J37">
        <v>4</v>
      </c>
      <c r="K37">
        <v>7.1428571430000004E-2</v>
      </c>
      <c r="L37">
        <v>0.1333333333</v>
      </c>
    </row>
    <row r="38" spans="1:12" x14ac:dyDescent="0.3">
      <c r="A38" t="s">
        <v>25</v>
      </c>
      <c r="B38" t="s">
        <v>55</v>
      </c>
      <c r="C38" t="s">
        <v>34</v>
      </c>
      <c r="D38" t="s">
        <v>35</v>
      </c>
      <c r="E38" t="s">
        <v>56</v>
      </c>
      <c r="F38">
        <v>1</v>
      </c>
      <c r="G38">
        <v>2</v>
      </c>
      <c r="H38">
        <v>4</v>
      </c>
      <c r="I38">
        <v>2</v>
      </c>
      <c r="J38">
        <v>4</v>
      </c>
      <c r="K38">
        <v>1</v>
      </c>
      <c r="L38">
        <v>1</v>
      </c>
    </row>
    <row r="39" spans="1:12" x14ac:dyDescent="0.3">
      <c r="A39" t="s">
        <v>12</v>
      </c>
      <c r="B39" t="s">
        <v>47</v>
      </c>
      <c r="C39" t="s">
        <v>48</v>
      </c>
      <c r="D39" t="s">
        <v>49</v>
      </c>
      <c r="E39" t="s">
        <v>50</v>
      </c>
      <c r="F39">
        <v>1</v>
      </c>
      <c r="G39">
        <v>4</v>
      </c>
      <c r="H39">
        <v>9</v>
      </c>
      <c r="I39">
        <v>1</v>
      </c>
      <c r="J39">
        <v>4</v>
      </c>
      <c r="K39">
        <v>0.25</v>
      </c>
      <c r="L39">
        <v>0.4</v>
      </c>
    </row>
    <row r="40" spans="1:12" x14ac:dyDescent="0.3">
      <c r="A40" t="s">
        <v>25</v>
      </c>
      <c r="B40" t="s">
        <v>43</v>
      </c>
      <c r="C40" t="s">
        <v>44</v>
      </c>
      <c r="D40" t="s">
        <v>45</v>
      </c>
      <c r="E40" t="s">
        <v>46</v>
      </c>
      <c r="F40">
        <v>1</v>
      </c>
      <c r="G40">
        <v>1103</v>
      </c>
      <c r="H40">
        <v>3</v>
      </c>
      <c r="I40">
        <v>3</v>
      </c>
      <c r="J40">
        <v>3</v>
      </c>
      <c r="K40">
        <v>2.719854941E-3</v>
      </c>
      <c r="L40">
        <v>5.4249547920000004E-3</v>
      </c>
    </row>
    <row r="41" spans="1:12" x14ac:dyDescent="0.3">
      <c r="A41" t="s">
        <v>12</v>
      </c>
      <c r="B41" t="s">
        <v>29</v>
      </c>
      <c r="C41" t="s">
        <v>30</v>
      </c>
      <c r="D41" t="s">
        <v>31</v>
      </c>
      <c r="E41" t="s">
        <v>32</v>
      </c>
      <c r="F41">
        <v>1</v>
      </c>
      <c r="G41">
        <v>80</v>
      </c>
      <c r="H41">
        <v>58</v>
      </c>
      <c r="I41">
        <v>3</v>
      </c>
      <c r="J41">
        <v>4</v>
      </c>
      <c r="K41">
        <v>3.7499999999999999E-2</v>
      </c>
      <c r="L41">
        <v>7.2289156630000004E-2</v>
      </c>
    </row>
    <row r="42" spans="1:12" x14ac:dyDescent="0.3">
      <c r="A42" t="s">
        <v>12</v>
      </c>
      <c r="B42" t="s">
        <v>285</v>
      </c>
      <c r="C42" t="s">
        <v>14</v>
      </c>
      <c r="D42" t="s">
        <v>286</v>
      </c>
      <c r="E42" t="s">
        <v>287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87</v>
      </c>
      <c r="B43" t="s">
        <v>283</v>
      </c>
      <c r="C43" t="s">
        <v>14</v>
      </c>
      <c r="D43" t="s">
        <v>205</v>
      </c>
      <c r="E43" t="s">
        <v>284</v>
      </c>
      <c r="F43">
        <v>0</v>
      </c>
      <c r="G43">
        <v>340</v>
      </c>
      <c r="H43">
        <v>530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12</v>
      </c>
      <c r="B44" t="s">
        <v>279</v>
      </c>
      <c r="C44" t="s">
        <v>280</v>
      </c>
      <c r="D44" t="s">
        <v>281</v>
      </c>
      <c r="E44" t="s">
        <v>282</v>
      </c>
      <c r="F44">
        <v>0</v>
      </c>
      <c r="G44">
        <v>200</v>
      </c>
      <c r="H44">
        <v>282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25</v>
      </c>
      <c r="B45" t="s">
        <v>277</v>
      </c>
      <c r="C45" t="s">
        <v>194</v>
      </c>
      <c r="D45" t="s">
        <v>278</v>
      </c>
      <c r="E45" t="s">
        <v>252</v>
      </c>
      <c r="F45">
        <v>0</v>
      </c>
      <c r="G45">
        <v>15</v>
      </c>
      <c r="H45">
        <v>19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87</v>
      </c>
      <c r="B46" t="s">
        <v>275</v>
      </c>
      <c r="C46" t="s">
        <v>14</v>
      </c>
      <c r="D46" t="s">
        <v>118</v>
      </c>
      <c r="E46" t="s">
        <v>276</v>
      </c>
      <c r="F46">
        <v>0</v>
      </c>
      <c r="G46">
        <v>158</v>
      </c>
      <c r="H46">
        <v>140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12</v>
      </c>
      <c r="B47" t="s">
        <v>273</v>
      </c>
      <c r="C47" t="s">
        <v>52</v>
      </c>
      <c r="D47" t="s">
        <v>66</v>
      </c>
      <c r="E47" t="s">
        <v>274</v>
      </c>
      <c r="F47">
        <v>0</v>
      </c>
      <c r="G47">
        <v>7</v>
      </c>
      <c r="H47">
        <v>7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25</v>
      </c>
      <c r="B48" t="s">
        <v>271</v>
      </c>
      <c r="C48" t="s">
        <v>194</v>
      </c>
      <c r="D48" t="s">
        <v>195</v>
      </c>
      <c r="E48" t="s">
        <v>272</v>
      </c>
      <c r="F48">
        <v>0</v>
      </c>
      <c r="G48">
        <v>17</v>
      </c>
      <c r="H48">
        <v>27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12</v>
      </c>
      <c r="B49" t="s">
        <v>265</v>
      </c>
      <c r="C49" t="s">
        <v>14</v>
      </c>
      <c r="D49" t="s">
        <v>266</v>
      </c>
      <c r="E49" t="s">
        <v>267</v>
      </c>
      <c r="F49">
        <v>0</v>
      </c>
      <c r="G49">
        <v>12</v>
      </c>
      <c r="H49">
        <v>28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87</v>
      </c>
      <c r="B50" t="s">
        <v>262</v>
      </c>
      <c r="C50" t="s">
        <v>44</v>
      </c>
      <c r="D50" t="s">
        <v>263</v>
      </c>
      <c r="E50" t="s">
        <v>264</v>
      </c>
      <c r="F50">
        <v>0</v>
      </c>
      <c r="G50">
        <v>1</v>
      </c>
      <c r="H50">
        <v>3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25</v>
      </c>
      <c r="B51" t="s">
        <v>259</v>
      </c>
      <c r="C51" t="s">
        <v>260</v>
      </c>
      <c r="D51" t="s">
        <v>260</v>
      </c>
      <c r="E51" t="s">
        <v>261</v>
      </c>
      <c r="F51">
        <v>0</v>
      </c>
      <c r="G51">
        <v>3</v>
      </c>
      <c r="H51">
        <v>3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87</v>
      </c>
      <c r="B52" t="s">
        <v>257</v>
      </c>
      <c r="C52" t="s">
        <v>14</v>
      </c>
      <c r="D52" t="s">
        <v>118</v>
      </c>
      <c r="E52" t="s">
        <v>258</v>
      </c>
      <c r="F52">
        <v>0</v>
      </c>
      <c r="G52">
        <v>82</v>
      </c>
      <c r="H52">
        <v>147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25</v>
      </c>
      <c r="B53" t="s">
        <v>251</v>
      </c>
      <c r="C53" t="s">
        <v>194</v>
      </c>
      <c r="D53" t="s">
        <v>195</v>
      </c>
      <c r="E53" t="s">
        <v>252</v>
      </c>
      <c r="F53">
        <v>0</v>
      </c>
      <c r="G53">
        <v>37</v>
      </c>
      <c r="H53">
        <v>53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25</v>
      </c>
      <c r="B54" t="s">
        <v>249</v>
      </c>
      <c r="C54" t="s">
        <v>194</v>
      </c>
      <c r="D54" t="s">
        <v>195</v>
      </c>
      <c r="E54" t="s">
        <v>250</v>
      </c>
      <c r="F54">
        <v>0</v>
      </c>
      <c r="G54">
        <v>34</v>
      </c>
      <c r="H54">
        <v>50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25</v>
      </c>
      <c r="B55" t="s">
        <v>248</v>
      </c>
      <c r="C55" t="s">
        <v>194</v>
      </c>
      <c r="D55" t="s">
        <v>195</v>
      </c>
      <c r="E55">
        <v>14.6</v>
      </c>
      <c r="F55">
        <v>0</v>
      </c>
      <c r="G55">
        <v>31</v>
      </c>
      <c r="H55">
        <v>44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12</v>
      </c>
      <c r="B56" t="s">
        <v>244</v>
      </c>
      <c r="C56" t="s">
        <v>245</v>
      </c>
      <c r="D56" t="s">
        <v>246</v>
      </c>
      <c r="E56" t="s">
        <v>247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42</v>
      </c>
      <c r="L56">
        <v>0</v>
      </c>
    </row>
    <row r="57" spans="1:12" x14ac:dyDescent="0.3">
      <c r="A57" t="s">
        <v>25</v>
      </c>
      <c r="B57" t="s">
        <v>242</v>
      </c>
      <c r="C57" t="s">
        <v>14</v>
      </c>
      <c r="D57" t="s">
        <v>109</v>
      </c>
      <c r="E57" t="s">
        <v>243</v>
      </c>
      <c r="F57">
        <v>0</v>
      </c>
      <c r="G57">
        <v>21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87</v>
      </c>
      <c r="B58" t="s">
        <v>235</v>
      </c>
      <c r="C58" t="s">
        <v>44</v>
      </c>
      <c r="D58" t="s">
        <v>236</v>
      </c>
      <c r="E58">
        <v>1.9</v>
      </c>
      <c r="F58">
        <v>0</v>
      </c>
      <c r="G58">
        <v>16</v>
      </c>
      <c r="H58">
        <v>38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12</v>
      </c>
      <c r="B59" t="s">
        <v>223</v>
      </c>
      <c r="C59" t="s">
        <v>224</v>
      </c>
      <c r="D59" t="s">
        <v>225</v>
      </c>
      <c r="E59" t="s">
        <v>226</v>
      </c>
      <c r="F59">
        <v>0</v>
      </c>
      <c r="G59">
        <v>39</v>
      </c>
      <c r="H59">
        <v>51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12</v>
      </c>
      <c r="B60" t="s">
        <v>221</v>
      </c>
      <c r="C60" t="s">
        <v>14</v>
      </c>
      <c r="D60" t="s">
        <v>205</v>
      </c>
      <c r="E60" t="s">
        <v>222</v>
      </c>
      <c r="F60">
        <v>0</v>
      </c>
      <c r="G60">
        <v>112</v>
      </c>
      <c r="H60">
        <v>138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12</v>
      </c>
      <c r="B61" t="s">
        <v>211</v>
      </c>
      <c r="C61" t="s">
        <v>212</v>
      </c>
      <c r="D61" t="s">
        <v>213</v>
      </c>
      <c r="E61" t="s">
        <v>214</v>
      </c>
      <c r="F61">
        <v>0</v>
      </c>
      <c r="G61">
        <v>711</v>
      </c>
      <c r="H61">
        <v>1295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12</v>
      </c>
      <c r="B62" t="s">
        <v>204</v>
      </c>
      <c r="C62" t="s">
        <v>14</v>
      </c>
      <c r="D62" t="s">
        <v>205</v>
      </c>
      <c r="E62" t="s">
        <v>206</v>
      </c>
      <c r="F62">
        <v>0</v>
      </c>
      <c r="G62">
        <v>141</v>
      </c>
      <c r="H62">
        <v>176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12</v>
      </c>
      <c r="B63" t="s">
        <v>197</v>
      </c>
      <c r="C63" t="s">
        <v>172</v>
      </c>
      <c r="D63" t="s">
        <v>198</v>
      </c>
      <c r="E63" t="s">
        <v>199</v>
      </c>
      <c r="F63">
        <v>0</v>
      </c>
      <c r="G63">
        <v>1</v>
      </c>
      <c r="H63">
        <v>2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12</v>
      </c>
      <c r="B64" t="s">
        <v>193</v>
      </c>
      <c r="C64" t="s">
        <v>194</v>
      </c>
      <c r="D64" t="s">
        <v>195</v>
      </c>
      <c r="E64" t="s">
        <v>196</v>
      </c>
      <c r="F64">
        <v>0</v>
      </c>
      <c r="G64">
        <v>38</v>
      </c>
      <c r="H64">
        <v>42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12</v>
      </c>
      <c r="B65" t="s">
        <v>188</v>
      </c>
      <c r="C65" t="s">
        <v>189</v>
      </c>
      <c r="D65" t="s">
        <v>190</v>
      </c>
      <c r="E65" t="s">
        <v>191</v>
      </c>
      <c r="F65">
        <v>0</v>
      </c>
      <c r="G65">
        <v>18</v>
      </c>
      <c r="H65">
        <v>22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12</v>
      </c>
      <c r="B66" t="s">
        <v>184</v>
      </c>
      <c r="C66" t="s">
        <v>185</v>
      </c>
      <c r="D66" t="s">
        <v>186</v>
      </c>
      <c r="E66" t="s">
        <v>187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42</v>
      </c>
      <c r="L66">
        <v>0</v>
      </c>
    </row>
    <row r="67" spans="1:12" x14ac:dyDescent="0.3">
      <c r="A67" t="s">
        <v>87</v>
      </c>
      <c r="B67" t="s">
        <v>180</v>
      </c>
      <c r="C67" t="s">
        <v>181</v>
      </c>
      <c r="D67" t="s">
        <v>182</v>
      </c>
      <c r="E67" t="s">
        <v>183</v>
      </c>
      <c r="F67">
        <v>0</v>
      </c>
      <c r="G67">
        <v>106</v>
      </c>
      <c r="H67">
        <v>123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25</v>
      </c>
      <c r="B68" t="s">
        <v>171</v>
      </c>
      <c r="C68" t="s">
        <v>172</v>
      </c>
      <c r="D68" t="s">
        <v>173</v>
      </c>
      <c r="E68" t="s">
        <v>174</v>
      </c>
      <c r="F68">
        <v>0</v>
      </c>
      <c r="G68">
        <v>67</v>
      </c>
      <c r="H68">
        <v>112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87</v>
      </c>
      <c r="B69" t="s">
        <v>168</v>
      </c>
      <c r="C69" t="s">
        <v>169</v>
      </c>
      <c r="D69" t="s">
        <v>151</v>
      </c>
      <c r="E69" t="s">
        <v>170</v>
      </c>
      <c r="F69">
        <v>0</v>
      </c>
      <c r="G69">
        <v>76</v>
      </c>
      <c r="H69">
        <v>47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87</v>
      </c>
      <c r="B70" t="s">
        <v>161</v>
      </c>
      <c r="C70" t="s">
        <v>14</v>
      </c>
      <c r="D70" t="s">
        <v>162</v>
      </c>
      <c r="E70" t="s">
        <v>163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42</v>
      </c>
      <c r="L70">
        <v>0</v>
      </c>
    </row>
    <row r="71" spans="1:12" x14ac:dyDescent="0.3">
      <c r="A71" t="s">
        <v>12</v>
      </c>
      <c r="B71" t="s">
        <v>156</v>
      </c>
      <c r="C71" t="s">
        <v>44</v>
      </c>
      <c r="D71" t="s">
        <v>157</v>
      </c>
      <c r="E71">
        <v>2.6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42</v>
      </c>
      <c r="L71">
        <v>0</v>
      </c>
    </row>
    <row r="72" spans="1:12" x14ac:dyDescent="0.3">
      <c r="A72" t="s">
        <v>17</v>
      </c>
      <c r="B72" t="s">
        <v>154</v>
      </c>
      <c r="C72" t="s">
        <v>19</v>
      </c>
      <c r="D72" t="s">
        <v>20</v>
      </c>
      <c r="E72" t="s">
        <v>155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42</v>
      </c>
      <c r="L72">
        <v>0</v>
      </c>
    </row>
    <row r="73" spans="1:12" x14ac:dyDescent="0.3">
      <c r="A73" t="s">
        <v>12</v>
      </c>
      <c r="B73" t="s">
        <v>150</v>
      </c>
      <c r="C73" t="s">
        <v>151</v>
      </c>
      <c r="D73" t="s">
        <v>152</v>
      </c>
      <c r="E73" t="s">
        <v>153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42</v>
      </c>
      <c r="L73">
        <v>0</v>
      </c>
    </row>
    <row r="74" spans="1:12" x14ac:dyDescent="0.3">
      <c r="A74" t="s">
        <v>25</v>
      </c>
      <c r="B74" t="s">
        <v>138</v>
      </c>
      <c r="C74" t="s">
        <v>139</v>
      </c>
      <c r="D74" t="s">
        <v>140</v>
      </c>
      <c r="E74" t="s">
        <v>141</v>
      </c>
      <c r="F74">
        <v>0</v>
      </c>
      <c r="G74">
        <v>2</v>
      </c>
      <c r="H74">
        <v>3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17</v>
      </c>
      <c r="B75" t="s">
        <v>136</v>
      </c>
      <c r="C75" t="s">
        <v>19</v>
      </c>
      <c r="D75" t="s">
        <v>20</v>
      </c>
      <c r="E75" t="s">
        <v>137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42</v>
      </c>
      <c r="L75">
        <v>0</v>
      </c>
    </row>
    <row r="76" spans="1:12" x14ac:dyDescent="0.3">
      <c r="A76" t="s">
        <v>87</v>
      </c>
      <c r="B76" t="s">
        <v>133</v>
      </c>
      <c r="C76" t="s">
        <v>14</v>
      </c>
      <c r="D76" t="s">
        <v>134</v>
      </c>
      <c r="E76" t="s">
        <v>135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25</v>
      </c>
      <c r="B77" t="s">
        <v>126</v>
      </c>
      <c r="C77" t="s">
        <v>127</v>
      </c>
      <c r="D77" t="s">
        <v>128</v>
      </c>
      <c r="E77" t="s">
        <v>129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42</v>
      </c>
      <c r="L77">
        <v>0</v>
      </c>
    </row>
    <row r="78" spans="1:12" x14ac:dyDescent="0.3">
      <c r="A78" t="s">
        <v>12</v>
      </c>
      <c r="B78" t="s">
        <v>122</v>
      </c>
      <c r="C78" t="s">
        <v>84</v>
      </c>
      <c r="D78" t="s">
        <v>85</v>
      </c>
      <c r="E78" t="s">
        <v>123</v>
      </c>
      <c r="F78">
        <v>0</v>
      </c>
      <c r="G78">
        <v>17</v>
      </c>
      <c r="H78">
        <v>42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25</v>
      </c>
      <c r="B79" t="s">
        <v>113</v>
      </c>
      <c r="C79" t="s">
        <v>114</v>
      </c>
      <c r="D79" t="s">
        <v>115</v>
      </c>
      <c r="E79" t="s">
        <v>116</v>
      </c>
      <c r="F79">
        <v>0</v>
      </c>
      <c r="G79">
        <v>25</v>
      </c>
      <c r="H79">
        <v>27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25</v>
      </c>
      <c r="B80" t="s">
        <v>112</v>
      </c>
      <c r="C80" t="s">
        <v>14</v>
      </c>
      <c r="D80" t="s">
        <v>109</v>
      </c>
      <c r="E80" t="s">
        <v>110</v>
      </c>
      <c r="F80">
        <v>0</v>
      </c>
      <c r="G80">
        <v>93</v>
      </c>
      <c r="H80">
        <v>163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25</v>
      </c>
      <c r="B81" t="s">
        <v>108</v>
      </c>
      <c r="C81" t="s">
        <v>14</v>
      </c>
      <c r="D81" t="s">
        <v>109</v>
      </c>
      <c r="E81" t="s">
        <v>110</v>
      </c>
      <c r="F81">
        <v>0</v>
      </c>
      <c r="G81">
        <v>83</v>
      </c>
      <c r="H81">
        <v>123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87</v>
      </c>
      <c r="B82" t="s">
        <v>106</v>
      </c>
      <c r="C82" t="s">
        <v>14</v>
      </c>
      <c r="D82" t="s">
        <v>23</v>
      </c>
      <c r="E82" t="s">
        <v>107</v>
      </c>
      <c r="F82">
        <v>0</v>
      </c>
      <c r="G82">
        <v>580</v>
      </c>
      <c r="H82">
        <v>564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12</v>
      </c>
      <c r="B83" t="s">
        <v>103</v>
      </c>
      <c r="C83" t="s">
        <v>44</v>
      </c>
      <c r="D83" t="s">
        <v>104</v>
      </c>
      <c r="E83" t="s">
        <v>105</v>
      </c>
      <c r="F83">
        <v>0</v>
      </c>
      <c r="G83">
        <v>58</v>
      </c>
      <c r="H83">
        <v>83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12</v>
      </c>
      <c r="B84" t="s">
        <v>99</v>
      </c>
      <c r="C84" t="s">
        <v>48</v>
      </c>
      <c r="D84" t="s">
        <v>49</v>
      </c>
      <c r="E84" t="s">
        <v>100</v>
      </c>
      <c r="F84">
        <v>0</v>
      </c>
      <c r="G84">
        <v>2</v>
      </c>
      <c r="H84">
        <v>5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12</v>
      </c>
      <c r="B85" t="s">
        <v>92</v>
      </c>
      <c r="C85" t="s">
        <v>93</v>
      </c>
      <c r="D85" t="s">
        <v>94</v>
      </c>
      <c r="E85" t="s">
        <v>95</v>
      </c>
      <c r="F85">
        <v>0</v>
      </c>
      <c r="G85">
        <v>79</v>
      </c>
      <c r="H85">
        <v>77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12</v>
      </c>
      <c r="B86" t="s">
        <v>74</v>
      </c>
      <c r="C86" t="s">
        <v>75</v>
      </c>
      <c r="D86" t="s">
        <v>75</v>
      </c>
      <c r="E86" t="s">
        <v>76</v>
      </c>
      <c r="F86">
        <v>0</v>
      </c>
      <c r="G86">
        <v>350</v>
      </c>
      <c r="H86">
        <v>498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12</v>
      </c>
      <c r="B87" t="s">
        <v>70</v>
      </c>
      <c r="C87" t="s">
        <v>71</v>
      </c>
      <c r="D87" t="s">
        <v>72</v>
      </c>
      <c r="E87" t="s">
        <v>73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42</v>
      </c>
      <c r="L87">
        <v>0</v>
      </c>
    </row>
    <row r="88" spans="1:12" x14ac:dyDescent="0.3">
      <c r="A88" t="s">
        <v>12</v>
      </c>
      <c r="B88" t="s">
        <v>61</v>
      </c>
      <c r="C88" t="s">
        <v>62</v>
      </c>
      <c r="D88" t="s">
        <v>63</v>
      </c>
      <c r="E88" t="s">
        <v>64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42</v>
      </c>
      <c r="L88">
        <v>0</v>
      </c>
    </row>
    <row r="89" spans="1:12" x14ac:dyDescent="0.3">
      <c r="A89" t="s">
        <v>17</v>
      </c>
      <c r="B89" t="s">
        <v>290</v>
      </c>
      <c r="C89" t="s">
        <v>52</v>
      </c>
      <c r="D89" t="s">
        <v>53</v>
      </c>
      <c r="E89" t="s">
        <v>54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42</v>
      </c>
      <c r="L89">
        <v>0</v>
      </c>
    </row>
    <row r="90" spans="1:12" x14ac:dyDescent="0.3">
      <c r="A90" t="s">
        <v>25</v>
      </c>
      <c r="B90" t="s">
        <v>39</v>
      </c>
      <c r="C90" t="s">
        <v>14</v>
      </c>
      <c r="D90" t="s">
        <v>40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42</v>
      </c>
      <c r="L90">
        <v>0</v>
      </c>
    </row>
    <row r="91" spans="1:12" x14ac:dyDescent="0.3">
      <c r="A91" t="s">
        <v>12</v>
      </c>
      <c r="B91" t="s">
        <v>37</v>
      </c>
      <c r="C91" t="s">
        <v>38</v>
      </c>
      <c r="D91" t="s">
        <v>38</v>
      </c>
      <c r="E91">
        <v>4.4000000000000004</v>
      </c>
      <c r="F91">
        <v>0</v>
      </c>
      <c r="G91">
        <v>329</v>
      </c>
      <c r="H91">
        <v>534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25</v>
      </c>
      <c r="B92" t="s">
        <v>33</v>
      </c>
      <c r="C92" t="s">
        <v>34</v>
      </c>
      <c r="D92" t="s">
        <v>35</v>
      </c>
      <c r="E92" t="s">
        <v>36</v>
      </c>
      <c r="F92">
        <v>0</v>
      </c>
      <c r="G92">
        <v>17</v>
      </c>
      <c r="H92">
        <v>25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25</v>
      </c>
      <c r="B93" t="s">
        <v>26</v>
      </c>
      <c r="C93" t="s">
        <v>27</v>
      </c>
      <c r="D93" t="s">
        <v>27</v>
      </c>
      <c r="E93" t="s">
        <v>28</v>
      </c>
      <c r="F93">
        <v>0</v>
      </c>
      <c r="G93">
        <v>26</v>
      </c>
      <c r="H93">
        <v>38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17</v>
      </c>
      <c r="B94" t="s">
        <v>22</v>
      </c>
      <c r="C94" t="s">
        <v>14</v>
      </c>
      <c r="D94" t="s">
        <v>23</v>
      </c>
      <c r="E94" t="s">
        <v>24</v>
      </c>
      <c r="F94">
        <v>0</v>
      </c>
      <c r="G94">
        <v>12</v>
      </c>
      <c r="H94">
        <v>15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>
        <v>0</v>
      </c>
      <c r="G95">
        <v>2</v>
      </c>
      <c r="H95">
        <v>3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>
        <v>0</v>
      </c>
      <c r="G96">
        <v>146</v>
      </c>
      <c r="H96">
        <v>61</v>
      </c>
      <c r="I96">
        <v>0</v>
      </c>
      <c r="J96">
        <v>0</v>
      </c>
      <c r="K96">
        <v>0</v>
      </c>
      <c r="L96">
        <v>0</v>
      </c>
    </row>
  </sheetData>
  <sortState xmlns:xlrd2="http://schemas.microsoft.com/office/spreadsheetml/2017/richdata2" ref="A2:L96">
    <sortCondition descending="1" ref="F1:F96"/>
  </sortState>
  <phoneticPr fontId="19" type="noConversion"/>
  <conditionalFormatting sqref="B1:B1048576">
    <cfRule type="duplicateValues" dxfId="6" priority="5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30AE-4A6E-4949-8BED-B208744FD634}">
  <dimension ref="A1:L96"/>
  <sheetViews>
    <sheetView workbookViewId="0">
      <selection activeCell="F6" sqref="F6:F46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17</v>
      </c>
      <c r="B2" t="s">
        <v>22</v>
      </c>
      <c r="C2" t="s">
        <v>14</v>
      </c>
      <c r="D2" t="s">
        <v>23</v>
      </c>
      <c r="E2" t="s">
        <v>24</v>
      </c>
      <c r="F2" t="s">
        <v>288</v>
      </c>
      <c r="G2" t="s">
        <v>288</v>
      </c>
      <c r="H2" t="s">
        <v>288</v>
      </c>
      <c r="I2" t="s">
        <v>288</v>
      </c>
      <c r="J2" t="s">
        <v>288</v>
      </c>
      <c r="K2" t="s">
        <v>42</v>
      </c>
      <c r="L2" t="s">
        <v>42</v>
      </c>
    </row>
    <row r="3" spans="1:12" x14ac:dyDescent="0.3">
      <c r="A3" t="s">
        <v>12</v>
      </c>
      <c r="B3" t="s">
        <v>70</v>
      </c>
      <c r="C3" t="s">
        <v>71</v>
      </c>
      <c r="D3" t="s">
        <v>72</v>
      </c>
      <c r="E3" t="s">
        <v>73</v>
      </c>
      <c r="F3" t="s">
        <v>288</v>
      </c>
      <c r="G3" t="s">
        <v>288</v>
      </c>
      <c r="H3" t="s">
        <v>288</v>
      </c>
      <c r="I3" t="s">
        <v>288</v>
      </c>
      <c r="J3" t="s">
        <v>288</v>
      </c>
      <c r="K3" t="s">
        <v>42</v>
      </c>
      <c r="L3" t="s">
        <v>42</v>
      </c>
    </row>
    <row r="4" spans="1:12" x14ac:dyDescent="0.3">
      <c r="A4" t="s">
        <v>12</v>
      </c>
      <c r="B4" t="s">
        <v>96</v>
      </c>
      <c r="C4" t="s">
        <v>14</v>
      </c>
      <c r="D4" t="s">
        <v>97</v>
      </c>
      <c r="E4" t="s">
        <v>98</v>
      </c>
      <c r="F4" t="s">
        <v>288</v>
      </c>
      <c r="G4" t="s">
        <v>288</v>
      </c>
      <c r="H4" t="s">
        <v>288</v>
      </c>
      <c r="I4" t="s">
        <v>288</v>
      </c>
      <c r="J4" t="s">
        <v>288</v>
      </c>
      <c r="K4" t="s">
        <v>42</v>
      </c>
      <c r="L4" t="s">
        <v>42</v>
      </c>
    </row>
    <row r="5" spans="1:12" x14ac:dyDescent="0.3">
      <c r="A5" t="s">
        <v>12</v>
      </c>
      <c r="B5" t="s">
        <v>101</v>
      </c>
      <c r="C5" t="s">
        <v>14</v>
      </c>
      <c r="D5" t="s">
        <v>97</v>
      </c>
      <c r="E5" t="s">
        <v>102</v>
      </c>
      <c r="F5" t="s">
        <v>288</v>
      </c>
      <c r="G5" t="s">
        <v>288</v>
      </c>
      <c r="H5" t="s">
        <v>288</v>
      </c>
      <c r="I5" t="s">
        <v>288</v>
      </c>
      <c r="J5" t="s">
        <v>288</v>
      </c>
      <c r="K5" t="s">
        <v>42</v>
      </c>
      <c r="L5" t="s">
        <v>42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1</v>
      </c>
      <c r="G6">
        <v>12</v>
      </c>
      <c r="H6">
        <v>30</v>
      </c>
      <c r="I6">
        <v>1</v>
      </c>
      <c r="J6">
        <v>4</v>
      </c>
      <c r="K6">
        <v>8.3333333329999995E-2</v>
      </c>
      <c r="L6">
        <v>0.1538461538</v>
      </c>
    </row>
    <row r="7" spans="1:12" x14ac:dyDescent="0.3">
      <c r="A7" t="s">
        <v>12</v>
      </c>
      <c r="B7" t="s">
        <v>29</v>
      </c>
      <c r="C7" t="s">
        <v>30</v>
      </c>
      <c r="D7" t="s">
        <v>31</v>
      </c>
      <c r="E7" t="s">
        <v>32</v>
      </c>
      <c r="F7">
        <v>1</v>
      </c>
      <c r="G7">
        <v>7</v>
      </c>
      <c r="H7">
        <v>9</v>
      </c>
      <c r="I7">
        <v>1</v>
      </c>
      <c r="J7">
        <v>2</v>
      </c>
      <c r="K7">
        <v>0.14285714290000001</v>
      </c>
      <c r="L7">
        <v>0.25</v>
      </c>
    </row>
    <row r="8" spans="1:12" x14ac:dyDescent="0.3">
      <c r="A8" t="s">
        <v>25</v>
      </c>
      <c r="B8" t="s">
        <v>33</v>
      </c>
      <c r="C8" t="s">
        <v>34</v>
      </c>
      <c r="D8" t="s">
        <v>35</v>
      </c>
      <c r="E8" t="s">
        <v>36</v>
      </c>
      <c r="F8">
        <v>1</v>
      </c>
      <c r="G8">
        <v>12</v>
      </c>
      <c r="H8">
        <v>21</v>
      </c>
      <c r="I8">
        <v>2</v>
      </c>
      <c r="J8">
        <v>2</v>
      </c>
      <c r="K8">
        <v>0.16666666669999999</v>
      </c>
      <c r="L8">
        <v>0.28571428570000001</v>
      </c>
    </row>
    <row r="9" spans="1:12" x14ac:dyDescent="0.3">
      <c r="A9" t="s">
        <v>25</v>
      </c>
      <c r="B9" t="s">
        <v>43</v>
      </c>
      <c r="C9" t="s">
        <v>44</v>
      </c>
      <c r="D9" t="s">
        <v>45</v>
      </c>
      <c r="E9" t="s">
        <v>46</v>
      </c>
      <c r="F9">
        <v>1</v>
      </c>
      <c r="G9">
        <v>1103</v>
      </c>
      <c r="H9">
        <v>3</v>
      </c>
      <c r="I9">
        <v>3</v>
      </c>
      <c r="J9">
        <v>3</v>
      </c>
      <c r="K9">
        <v>2.719854941E-3</v>
      </c>
      <c r="L9">
        <v>5.4249547920000004E-3</v>
      </c>
    </row>
    <row r="10" spans="1:12" x14ac:dyDescent="0.3">
      <c r="A10" t="s">
        <v>12</v>
      </c>
      <c r="B10" t="s">
        <v>47</v>
      </c>
      <c r="C10" t="s">
        <v>48</v>
      </c>
      <c r="D10" t="s">
        <v>49</v>
      </c>
      <c r="E10" t="s">
        <v>50</v>
      </c>
      <c r="F10">
        <v>1</v>
      </c>
      <c r="G10">
        <v>4</v>
      </c>
      <c r="H10">
        <v>13</v>
      </c>
      <c r="I10">
        <v>3</v>
      </c>
      <c r="J10">
        <v>10</v>
      </c>
      <c r="K10">
        <v>0.75</v>
      </c>
      <c r="L10">
        <v>0.85714285710000004</v>
      </c>
    </row>
    <row r="11" spans="1:12" x14ac:dyDescent="0.3">
      <c r="A11" t="s">
        <v>17</v>
      </c>
      <c r="B11" t="s">
        <v>51</v>
      </c>
      <c r="C11" t="s">
        <v>52</v>
      </c>
      <c r="D11" t="s">
        <v>53</v>
      </c>
      <c r="E11" t="s">
        <v>54</v>
      </c>
      <c r="F11">
        <v>1</v>
      </c>
      <c r="G11">
        <v>2</v>
      </c>
      <c r="H11">
        <v>8</v>
      </c>
      <c r="I11">
        <v>2</v>
      </c>
      <c r="J11">
        <v>8</v>
      </c>
      <c r="K11">
        <v>1</v>
      </c>
      <c r="L11">
        <v>1</v>
      </c>
    </row>
    <row r="12" spans="1:12" x14ac:dyDescent="0.3">
      <c r="A12" t="s">
        <v>25</v>
      </c>
      <c r="B12" t="s">
        <v>55</v>
      </c>
      <c r="C12" t="s">
        <v>34</v>
      </c>
      <c r="D12" t="s">
        <v>35</v>
      </c>
      <c r="E12" t="s">
        <v>56</v>
      </c>
      <c r="F12">
        <v>1</v>
      </c>
      <c r="G12">
        <v>13</v>
      </c>
      <c r="H12">
        <v>25</v>
      </c>
      <c r="I12">
        <v>3</v>
      </c>
      <c r="J12">
        <v>12</v>
      </c>
      <c r="K12">
        <v>0.2307692308</v>
      </c>
      <c r="L12">
        <v>0.375</v>
      </c>
    </row>
    <row r="13" spans="1:12" x14ac:dyDescent="0.3">
      <c r="A13" t="s">
        <v>25</v>
      </c>
      <c r="B13" t="s">
        <v>57</v>
      </c>
      <c r="C13" t="s">
        <v>58</v>
      </c>
      <c r="D13" t="s">
        <v>59</v>
      </c>
      <c r="E13" t="s">
        <v>60</v>
      </c>
      <c r="F13">
        <v>1</v>
      </c>
      <c r="G13">
        <v>36</v>
      </c>
      <c r="H13">
        <v>83</v>
      </c>
      <c r="I13">
        <v>2</v>
      </c>
      <c r="J13">
        <v>4</v>
      </c>
      <c r="K13">
        <v>5.5555555559999997E-2</v>
      </c>
      <c r="L13">
        <v>0.1052631579</v>
      </c>
    </row>
    <row r="14" spans="1:12" x14ac:dyDescent="0.3">
      <c r="A14" t="s">
        <v>12</v>
      </c>
      <c r="B14" t="s">
        <v>65</v>
      </c>
      <c r="C14" t="s">
        <v>52</v>
      </c>
      <c r="D14" t="s">
        <v>66</v>
      </c>
      <c r="E14">
        <v>3.5</v>
      </c>
      <c r="F14">
        <v>1</v>
      </c>
      <c r="G14">
        <v>6</v>
      </c>
      <c r="H14">
        <v>12</v>
      </c>
      <c r="I14">
        <v>2</v>
      </c>
      <c r="J14">
        <v>8</v>
      </c>
      <c r="K14">
        <v>0.33333333329999998</v>
      </c>
      <c r="L14">
        <v>0.5</v>
      </c>
    </row>
    <row r="15" spans="1:12" x14ac:dyDescent="0.3">
      <c r="A15" t="s">
        <v>12</v>
      </c>
      <c r="B15" t="s">
        <v>67</v>
      </c>
      <c r="C15" t="s">
        <v>68</v>
      </c>
      <c r="D15" t="s">
        <v>69</v>
      </c>
      <c r="E15">
        <v>1.1200000000000001</v>
      </c>
      <c r="F15">
        <v>1</v>
      </c>
      <c r="G15">
        <v>25</v>
      </c>
      <c r="H15">
        <v>40</v>
      </c>
      <c r="I15">
        <v>4</v>
      </c>
      <c r="J15">
        <v>6</v>
      </c>
      <c r="K15">
        <v>0.16</v>
      </c>
      <c r="L15">
        <v>0.27586206899999999</v>
      </c>
    </row>
    <row r="16" spans="1:12" x14ac:dyDescent="0.3">
      <c r="A16" t="s">
        <v>12</v>
      </c>
      <c r="B16" t="s">
        <v>79</v>
      </c>
      <c r="C16" t="s">
        <v>80</v>
      </c>
      <c r="D16" t="s">
        <v>81</v>
      </c>
      <c r="E16" t="s">
        <v>82</v>
      </c>
      <c r="F16">
        <v>1</v>
      </c>
      <c r="G16">
        <v>40</v>
      </c>
      <c r="H16">
        <v>80</v>
      </c>
      <c r="I16">
        <v>6</v>
      </c>
      <c r="J16">
        <v>10</v>
      </c>
      <c r="K16">
        <v>0.15</v>
      </c>
      <c r="L16">
        <v>0.26086956519999999</v>
      </c>
    </row>
    <row r="17" spans="1:12" x14ac:dyDescent="0.3">
      <c r="A17" t="s">
        <v>12</v>
      </c>
      <c r="B17" t="s">
        <v>83</v>
      </c>
      <c r="C17" t="s">
        <v>84</v>
      </c>
      <c r="D17" t="s">
        <v>85</v>
      </c>
      <c r="E17" t="s">
        <v>86</v>
      </c>
      <c r="F17">
        <v>1</v>
      </c>
      <c r="G17">
        <v>11</v>
      </c>
      <c r="H17">
        <v>29</v>
      </c>
      <c r="I17">
        <v>1</v>
      </c>
      <c r="J17">
        <v>4</v>
      </c>
      <c r="K17">
        <v>9.0909090910000004E-2</v>
      </c>
      <c r="L17">
        <v>0.16666666669999999</v>
      </c>
    </row>
    <row r="18" spans="1:12" x14ac:dyDescent="0.3">
      <c r="A18" t="s">
        <v>12</v>
      </c>
      <c r="B18" t="s">
        <v>103</v>
      </c>
      <c r="C18" t="s">
        <v>44</v>
      </c>
      <c r="D18" t="s">
        <v>104</v>
      </c>
      <c r="E18" t="s">
        <v>105</v>
      </c>
      <c r="F18">
        <v>1</v>
      </c>
      <c r="G18">
        <v>13</v>
      </c>
      <c r="H18">
        <v>22</v>
      </c>
      <c r="I18">
        <v>4</v>
      </c>
      <c r="J18">
        <v>4</v>
      </c>
      <c r="K18">
        <v>0.3076923077</v>
      </c>
      <c r="L18">
        <v>0.47058823529999999</v>
      </c>
    </row>
    <row r="19" spans="1:12" x14ac:dyDescent="0.3">
      <c r="A19" t="s">
        <v>25</v>
      </c>
      <c r="B19" t="s">
        <v>111</v>
      </c>
      <c r="C19" t="s">
        <v>14</v>
      </c>
      <c r="D19" t="s">
        <v>109</v>
      </c>
      <c r="E19" t="s">
        <v>110</v>
      </c>
      <c r="F19">
        <v>1</v>
      </c>
      <c r="G19">
        <v>75</v>
      </c>
      <c r="H19">
        <v>151</v>
      </c>
      <c r="I19">
        <v>9</v>
      </c>
      <c r="J19">
        <v>17</v>
      </c>
      <c r="K19">
        <v>0.12</v>
      </c>
      <c r="L19">
        <v>0.21428571430000001</v>
      </c>
    </row>
    <row r="20" spans="1:12" x14ac:dyDescent="0.3">
      <c r="A20" t="s">
        <v>25</v>
      </c>
      <c r="B20" t="s">
        <v>120</v>
      </c>
      <c r="C20" t="s">
        <v>44</v>
      </c>
      <c r="D20" t="s">
        <v>45</v>
      </c>
      <c r="E20" t="s">
        <v>121</v>
      </c>
      <c r="F20">
        <v>1</v>
      </c>
      <c r="G20">
        <v>420</v>
      </c>
      <c r="H20">
        <v>2</v>
      </c>
      <c r="I20">
        <v>1</v>
      </c>
      <c r="J20">
        <v>2</v>
      </c>
      <c r="K20">
        <v>2.3809523810000002E-3</v>
      </c>
      <c r="L20">
        <v>4.7505938240000002E-3</v>
      </c>
    </row>
    <row r="21" spans="1:12" x14ac:dyDescent="0.3">
      <c r="A21" t="s">
        <v>12</v>
      </c>
      <c r="B21" t="s">
        <v>122</v>
      </c>
      <c r="C21" t="s">
        <v>84</v>
      </c>
      <c r="D21" t="s">
        <v>85</v>
      </c>
      <c r="E21" t="s">
        <v>123</v>
      </c>
      <c r="F21">
        <v>1</v>
      </c>
      <c r="G21">
        <v>14</v>
      </c>
      <c r="H21">
        <v>38</v>
      </c>
      <c r="I21">
        <v>1</v>
      </c>
      <c r="J21">
        <v>4</v>
      </c>
      <c r="K21">
        <v>7.1428571430000004E-2</v>
      </c>
      <c r="L21">
        <v>0.1333333333</v>
      </c>
    </row>
    <row r="22" spans="1:12" x14ac:dyDescent="0.3">
      <c r="A22" t="s">
        <v>12</v>
      </c>
      <c r="B22" t="s">
        <v>142</v>
      </c>
      <c r="C22" t="s">
        <v>143</v>
      </c>
      <c r="D22" t="s">
        <v>144</v>
      </c>
      <c r="E22" t="s">
        <v>145</v>
      </c>
      <c r="F22">
        <v>1</v>
      </c>
      <c r="G22">
        <v>17</v>
      </c>
      <c r="H22">
        <v>27</v>
      </c>
      <c r="I22">
        <v>2</v>
      </c>
      <c r="J22">
        <v>3</v>
      </c>
      <c r="K22">
        <v>0.1176470588</v>
      </c>
      <c r="L22">
        <v>0.2105263158</v>
      </c>
    </row>
    <row r="23" spans="1:12" x14ac:dyDescent="0.3">
      <c r="A23" t="s">
        <v>12</v>
      </c>
      <c r="B23" t="s">
        <v>146</v>
      </c>
      <c r="C23" t="s">
        <v>147</v>
      </c>
      <c r="D23" t="s">
        <v>148</v>
      </c>
      <c r="E23" t="s">
        <v>149</v>
      </c>
      <c r="F23">
        <v>1</v>
      </c>
      <c r="G23">
        <v>12</v>
      </c>
      <c r="H23">
        <v>32</v>
      </c>
      <c r="I23">
        <v>2</v>
      </c>
      <c r="J23">
        <v>8</v>
      </c>
      <c r="K23">
        <v>0.16666666669999999</v>
      </c>
      <c r="L23">
        <v>0.28571428570000001</v>
      </c>
    </row>
    <row r="24" spans="1:12" x14ac:dyDescent="0.3">
      <c r="A24" t="s">
        <v>12</v>
      </c>
      <c r="B24" t="s">
        <v>150</v>
      </c>
      <c r="C24" t="s">
        <v>151</v>
      </c>
      <c r="D24" t="s">
        <v>152</v>
      </c>
      <c r="E24" t="s">
        <v>153</v>
      </c>
      <c r="F24">
        <v>1</v>
      </c>
      <c r="G24">
        <v>15</v>
      </c>
      <c r="H24">
        <v>32</v>
      </c>
      <c r="I24">
        <v>1</v>
      </c>
      <c r="J24">
        <v>1</v>
      </c>
      <c r="K24">
        <v>6.6666666669999999E-2</v>
      </c>
      <c r="L24">
        <v>0.125</v>
      </c>
    </row>
    <row r="25" spans="1:12" x14ac:dyDescent="0.3">
      <c r="A25" t="s">
        <v>87</v>
      </c>
      <c r="B25" t="s">
        <v>158</v>
      </c>
      <c r="C25" t="s">
        <v>14</v>
      </c>
      <c r="D25" t="s">
        <v>159</v>
      </c>
      <c r="E25" t="s">
        <v>160</v>
      </c>
      <c r="F25">
        <v>1</v>
      </c>
      <c r="G25">
        <v>81</v>
      </c>
      <c r="H25">
        <v>120</v>
      </c>
      <c r="I25">
        <v>4</v>
      </c>
      <c r="J25">
        <v>6</v>
      </c>
      <c r="K25">
        <v>4.9382716049999997E-2</v>
      </c>
      <c r="L25">
        <v>9.4117647060000004E-2</v>
      </c>
    </row>
    <row r="26" spans="1:12" x14ac:dyDescent="0.3">
      <c r="A26" t="s">
        <v>87</v>
      </c>
      <c r="B26" t="s">
        <v>164</v>
      </c>
      <c r="C26" t="s">
        <v>165</v>
      </c>
      <c r="D26" t="s">
        <v>166</v>
      </c>
      <c r="E26" t="s">
        <v>167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x14ac:dyDescent="0.3">
      <c r="A27" t="s">
        <v>25</v>
      </c>
      <c r="B27" t="s">
        <v>175</v>
      </c>
      <c r="C27" t="s">
        <v>27</v>
      </c>
      <c r="D27" t="s">
        <v>27</v>
      </c>
      <c r="E27" t="s">
        <v>176</v>
      </c>
      <c r="F27">
        <v>1</v>
      </c>
      <c r="G27">
        <v>648</v>
      </c>
      <c r="H27">
        <v>2</v>
      </c>
      <c r="I27">
        <v>2</v>
      </c>
      <c r="J27">
        <v>2</v>
      </c>
      <c r="K27">
        <v>3.086419753E-3</v>
      </c>
      <c r="L27">
        <v>6.1538461540000004E-3</v>
      </c>
    </row>
    <row r="28" spans="1:12" x14ac:dyDescent="0.3">
      <c r="A28" t="s">
        <v>12</v>
      </c>
      <c r="B28" t="s">
        <v>177</v>
      </c>
      <c r="C28" t="s">
        <v>44</v>
      </c>
      <c r="D28" t="s">
        <v>178</v>
      </c>
      <c r="E28" t="s">
        <v>179</v>
      </c>
      <c r="F28">
        <v>1</v>
      </c>
      <c r="G28">
        <v>95</v>
      </c>
      <c r="H28">
        <v>169</v>
      </c>
      <c r="I28">
        <v>3</v>
      </c>
      <c r="J28">
        <v>6</v>
      </c>
      <c r="K28">
        <v>3.1578947369999999E-2</v>
      </c>
      <c r="L28">
        <v>6.1224489799999997E-2</v>
      </c>
    </row>
    <row r="29" spans="1:12" x14ac:dyDescent="0.3">
      <c r="A29" t="s">
        <v>25</v>
      </c>
      <c r="B29" t="s">
        <v>192</v>
      </c>
      <c r="C29" t="s">
        <v>189</v>
      </c>
      <c r="D29" t="s">
        <v>190</v>
      </c>
      <c r="E29" t="s">
        <v>191</v>
      </c>
      <c r="F29">
        <v>1</v>
      </c>
      <c r="G29">
        <v>20</v>
      </c>
      <c r="H29">
        <v>30</v>
      </c>
      <c r="I29">
        <v>3</v>
      </c>
      <c r="J29">
        <v>4</v>
      </c>
      <c r="K29">
        <v>0.15</v>
      </c>
      <c r="L29">
        <v>0.26086956519999999</v>
      </c>
    </row>
    <row r="30" spans="1:12" x14ac:dyDescent="0.3">
      <c r="A30" t="s">
        <v>25</v>
      </c>
      <c r="B30" t="s">
        <v>207</v>
      </c>
      <c r="C30" t="s">
        <v>34</v>
      </c>
      <c r="D30" t="s">
        <v>35</v>
      </c>
      <c r="E30" t="s">
        <v>208</v>
      </c>
      <c r="F30">
        <v>1</v>
      </c>
      <c r="G30">
        <v>9</v>
      </c>
      <c r="H30">
        <v>17</v>
      </c>
      <c r="I30">
        <v>1</v>
      </c>
      <c r="J30">
        <v>1</v>
      </c>
      <c r="K30">
        <v>0.11111111110000001</v>
      </c>
      <c r="L30">
        <v>0.2</v>
      </c>
    </row>
    <row r="31" spans="1:12" x14ac:dyDescent="0.3">
      <c r="A31" t="s">
        <v>25</v>
      </c>
      <c r="B31" t="s">
        <v>209</v>
      </c>
      <c r="C31" t="s">
        <v>34</v>
      </c>
      <c r="D31" t="s">
        <v>35</v>
      </c>
      <c r="E31" t="s">
        <v>210</v>
      </c>
      <c r="F31">
        <v>1</v>
      </c>
      <c r="G31">
        <v>11</v>
      </c>
      <c r="H31">
        <v>24</v>
      </c>
      <c r="I31">
        <v>1</v>
      </c>
      <c r="J31">
        <v>1</v>
      </c>
      <c r="K31">
        <v>9.0909090910000004E-2</v>
      </c>
      <c r="L31">
        <v>0.16666666669999999</v>
      </c>
    </row>
    <row r="32" spans="1:12" x14ac:dyDescent="0.3">
      <c r="A32" t="s">
        <v>25</v>
      </c>
      <c r="B32" t="s">
        <v>215</v>
      </c>
      <c r="C32" t="s">
        <v>38</v>
      </c>
      <c r="D32" t="s">
        <v>38</v>
      </c>
      <c r="E32">
        <v>5.0999999999999996</v>
      </c>
      <c r="F32">
        <v>1</v>
      </c>
      <c r="G32">
        <v>623</v>
      </c>
      <c r="H32">
        <v>11</v>
      </c>
      <c r="I32">
        <v>6</v>
      </c>
      <c r="J32">
        <v>11</v>
      </c>
      <c r="K32">
        <v>9.6308186200000003E-3</v>
      </c>
      <c r="L32">
        <v>1.9077901429999999E-2</v>
      </c>
    </row>
    <row r="33" spans="1:12" x14ac:dyDescent="0.3">
      <c r="A33" t="s">
        <v>12</v>
      </c>
      <c r="B33" t="s">
        <v>216</v>
      </c>
      <c r="C33" t="s">
        <v>38</v>
      </c>
      <c r="D33" t="s">
        <v>38</v>
      </c>
      <c r="E33">
        <v>5.0999999999999996</v>
      </c>
      <c r="F33">
        <v>1</v>
      </c>
      <c r="G33">
        <v>108</v>
      </c>
      <c r="H33">
        <v>205</v>
      </c>
      <c r="I33">
        <v>3</v>
      </c>
      <c r="J33">
        <v>5</v>
      </c>
      <c r="K33">
        <v>2.7777777779999999E-2</v>
      </c>
      <c r="L33">
        <v>5.4054054050000001E-2</v>
      </c>
    </row>
    <row r="34" spans="1:12" x14ac:dyDescent="0.3">
      <c r="A34" t="s">
        <v>12</v>
      </c>
      <c r="B34" t="s">
        <v>217</v>
      </c>
      <c r="C34" t="s">
        <v>38</v>
      </c>
      <c r="D34" t="s">
        <v>38</v>
      </c>
      <c r="E34">
        <v>5.0999999999999996</v>
      </c>
      <c r="F34">
        <v>1</v>
      </c>
      <c r="G34">
        <v>98</v>
      </c>
      <c r="H34">
        <v>190</v>
      </c>
      <c r="I34">
        <v>6</v>
      </c>
      <c r="J34">
        <v>8</v>
      </c>
      <c r="K34">
        <v>6.1224489799999997E-2</v>
      </c>
      <c r="L34">
        <v>0.1153846154</v>
      </c>
    </row>
    <row r="35" spans="1:12" x14ac:dyDescent="0.3">
      <c r="A35" t="s">
        <v>12</v>
      </c>
      <c r="B35" t="s">
        <v>218</v>
      </c>
      <c r="C35" t="s">
        <v>14</v>
      </c>
      <c r="D35" t="s">
        <v>219</v>
      </c>
      <c r="E35" t="s">
        <v>220</v>
      </c>
      <c r="F35">
        <v>1</v>
      </c>
      <c r="G35">
        <v>116</v>
      </c>
      <c r="H35">
        <v>165</v>
      </c>
      <c r="I35">
        <v>7</v>
      </c>
      <c r="J35">
        <v>13</v>
      </c>
      <c r="K35">
        <v>6.0344827589999997E-2</v>
      </c>
      <c r="L35">
        <v>0.1138211382</v>
      </c>
    </row>
    <row r="36" spans="1:12" x14ac:dyDescent="0.3">
      <c r="A36" t="s">
        <v>12</v>
      </c>
      <c r="B36" t="s">
        <v>229</v>
      </c>
      <c r="C36" t="s">
        <v>230</v>
      </c>
      <c r="D36" t="s">
        <v>231</v>
      </c>
      <c r="E36">
        <v>7.5</v>
      </c>
      <c r="F36">
        <v>1</v>
      </c>
      <c r="G36">
        <v>21</v>
      </c>
      <c r="H36">
        <v>37</v>
      </c>
      <c r="I36">
        <v>2</v>
      </c>
      <c r="J36">
        <v>2</v>
      </c>
      <c r="K36">
        <v>9.5238095240000001E-2</v>
      </c>
      <c r="L36">
        <v>0.1739130435</v>
      </c>
    </row>
    <row r="37" spans="1:12" x14ac:dyDescent="0.3">
      <c r="A37" t="s">
        <v>25</v>
      </c>
      <c r="B37" t="s">
        <v>232</v>
      </c>
      <c r="C37" t="s">
        <v>27</v>
      </c>
      <c r="D37" t="s">
        <v>27</v>
      </c>
      <c r="E37" t="s">
        <v>176</v>
      </c>
      <c r="F37">
        <v>1</v>
      </c>
      <c r="G37">
        <v>834</v>
      </c>
      <c r="H37">
        <v>11</v>
      </c>
      <c r="I37">
        <v>8</v>
      </c>
      <c r="J37">
        <v>11</v>
      </c>
      <c r="K37">
        <v>9.5923261390000007E-3</v>
      </c>
      <c r="L37">
        <v>1.9002375299999999E-2</v>
      </c>
    </row>
    <row r="38" spans="1:12" x14ac:dyDescent="0.3">
      <c r="A38" t="s">
        <v>12</v>
      </c>
      <c r="B38" t="s">
        <v>233</v>
      </c>
      <c r="C38" t="s">
        <v>52</v>
      </c>
      <c r="D38" t="s">
        <v>53</v>
      </c>
      <c r="E38" t="s">
        <v>234</v>
      </c>
      <c r="F38">
        <v>1</v>
      </c>
      <c r="G38">
        <v>17</v>
      </c>
      <c r="H38">
        <v>39</v>
      </c>
      <c r="I38">
        <v>2</v>
      </c>
      <c r="J38">
        <v>6</v>
      </c>
      <c r="K38">
        <v>0.1176470588</v>
      </c>
      <c r="L38">
        <v>0.2105263158</v>
      </c>
    </row>
    <row r="39" spans="1:12" x14ac:dyDescent="0.3">
      <c r="A39" t="s">
        <v>25</v>
      </c>
      <c r="B39" t="s">
        <v>237</v>
      </c>
      <c r="C39" t="s">
        <v>27</v>
      </c>
      <c r="D39" t="s">
        <v>27</v>
      </c>
      <c r="E39" t="s">
        <v>238</v>
      </c>
      <c r="F39">
        <v>1</v>
      </c>
      <c r="G39">
        <v>1077</v>
      </c>
      <c r="H39">
        <v>1</v>
      </c>
      <c r="I39">
        <v>1</v>
      </c>
      <c r="J39">
        <v>1</v>
      </c>
      <c r="K39">
        <v>9.2850510679999998E-4</v>
      </c>
      <c r="L39">
        <v>1.8552875700000001E-3</v>
      </c>
    </row>
    <row r="40" spans="1:12" x14ac:dyDescent="0.3">
      <c r="A40" t="s">
        <v>87</v>
      </c>
      <c r="B40" t="s">
        <v>239</v>
      </c>
      <c r="C40" t="s">
        <v>240</v>
      </c>
      <c r="D40" t="s">
        <v>240</v>
      </c>
      <c r="E40" t="s">
        <v>241</v>
      </c>
      <c r="F40">
        <v>1</v>
      </c>
      <c r="G40">
        <v>74</v>
      </c>
      <c r="H40">
        <v>122</v>
      </c>
      <c r="I40">
        <v>13</v>
      </c>
      <c r="J40">
        <v>17</v>
      </c>
      <c r="K40">
        <v>0.17567567570000001</v>
      </c>
      <c r="L40">
        <v>0.29885057469999998</v>
      </c>
    </row>
    <row r="41" spans="1:12" x14ac:dyDescent="0.3">
      <c r="A41" t="s">
        <v>25</v>
      </c>
      <c r="B41" t="s">
        <v>242</v>
      </c>
      <c r="C41" t="s">
        <v>14</v>
      </c>
      <c r="D41" t="s">
        <v>109</v>
      </c>
      <c r="E41" t="s">
        <v>243</v>
      </c>
      <c r="F41">
        <v>1</v>
      </c>
      <c r="G41">
        <v>88</v>
      </c>
      <c r="H41">
        <v>172</v>
      </c>
      <c r="I41">
        <v>4</v>
      </c>
      <c r="J41">
        <v>7</v>
      </c>
      <c r="K41">
        <v>4.5454545450000002E-2</v>
      </c>
      <c r="L41">
        <v>8.6956521740000001E-2</v>
      </c>
    </row>
    <row r="42" spans="1:12" x14ac:dyDescent="0.3">
      <c r="A42" t="s">
        <v>87</v>
      </c>
      <c r="B42" t="s">
        <v>257</v>
      </c>
      <c r="C42" t="s">
        <v>14</v>
      </c>
      <c r="D42" t="s">
        <v>118</v>
      </c>
      <c r="E42" t="s">
        <v>258</v>
      </c>
      <c r="F42">
        <v>1</v>
      </c>
      <c r="G42">
        <v>31</v>
      </c>
      <c r="H42">
        <v>51</v>
      </c>
      <c r="I42">
        <v>2</v>
      </c>
      <c r="J42">
        <v>4</v>
      </c>
      <c r="K42">
        <v>6.4516129029999994E-2</v>
      </c>
      <c r="L42">
        <v>0.12121212119999999</v>
      </c>
    </row>
    <row r="43" spans="1:12" x14ac:dyDescent="0.3">
      <c r="A43" t="s">
        <v>12</v>
      </c>
      <c r="B43" t="s">
        <v>268</v>
      </c>
      <c r="C43" t="s">
        <v>14</v>
      </c>
      <c r="D43" t="s">
        <v>269</v>
      </c>
      <c r="E43" t="s">
        <v>270</v>
      </c>
      <c r="F43">
        <v>1</v>
      </c>
      <c r="G43">
        <v>16</v>
      </c>
      <c r="H43">
        <v>21</v>
      </c>
      <c r="I43">
        <v>4</v>
      </c>
      <c r="J43">
        <v>4</v>
      </c>
      <c r="K43">
        <v>0.25</v>
      </c>
      <c r="L43">
        <v>0.4</v>
      </c>
    </row>
    <row r="44" spans="1:12" x14ac:dyDescent="0.3">
      <c r="A44" t="s">
        <v>12</v>
      </c>
      <c r="B44" t="s">
        <v>273</v>
      </c>
      <c r="C44" t="s">
        <v>52</v>
      </c>
      <c r="D44" t="s">
        <v>66</v>
      </c>
      <c r="E44" t="s">
        <v>274</v>
      </c>
      <c r="F44">
        <v>1</v>
      </c>
      <c r="G44">
        <v>9</v>
      </c>
      <c r="H44">
        <v>16</v>
      </c>
      <c r="I44">
        <v>2</v>
      </c>
      <c r="J44">
        <v>8</v>
      </c>
      <c r="K44">
        <v>0.22222222220000001</v>
      </c>
      <c r="L44">
        <v>0.36363636360000001</v>
      </c>
    </row>
    <row r="45" spans="1:12" x14ac:dyDescent="0.3">
      <c r="A45" t="s">
        <v>87</v>
      </c>
      <c r="B45" t="s">
        <v>275</v>
      </c>
      <c r="C45" t="s">
        <v>14</v>
      </c>
      <c r="D45" t="s">
        <v>118</v>
      </c>
      <c r="E45" t="s">
        <v>276</v>
      </c>
      <c r="F45">
        <v>1</v>
      </c>
      <c r="G45">
        <v>25</v>
      </c>
      <c r="H45">
        <v>48</v>
      </c>
      <c r="I45">
        <v>1</v>
      </c>
      <c r="J45">
        <v>1</v>
      </c>
      <c r="K45">
        <v>0.04</v>
      </c>
      <c r="L45">
        <v>7.692307692E-2</v>
      </c>
    </row>
    <row r="46" spans="1:12" x14ac:dyDescent="0.3">
      <c r="A46" t="s">
        <v>87</v>
      </c>
      <c r="B46" t="s">
        <v>283</v>
      </c>
      <c r="C46" t="s">
        <v>14</v>
      </c>
      <c r="D46" t="s">
        <v>205</v>
      </c>
      <c r="E46" t="s">
        <v>284</v>
      </c>
      <c r="F46">
        <v>1</v>
      </c>
      <c r="G46">
        <v>48</v>
      </c>
      <c r="H46">
        <v>75</v>
      </c>
      <c r="I46">
        <v>5</v>
      </c>
      <c r="J46">
        <v>5</v>
      </c>
      <c r="K46">
        <v>0.10416666669999999</v>
      </c>
      <c r="L46">
        <v>0.18867924529999999</v>
      </c>
    </row>
    <row r="47" spans="1:12" x14ac:dyDescent="0.3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25</v>
      </c>
      <c r="B48" t="s">
        <v>26</v>
      </c>
      <c r="C48" t="s">
        <v>27</v>
      </c>
      <c r="D48" t="s">
        <v>27</v>
      </c>
      <c r="E48" t="s">
        <v>28</v>
      </c>
      <c r="F48">
        <v>0</v>
      </c>
      <c r="G48">
        <v>35</v>
      </c>
      <c r="H48">
        <v>80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12</v>
      </c>
      <c r="B49" t="s">
        <v>37</v>
      </c>
      <c r="C49" t="s">
        <v>38</v>
      </c>
      <c r="D49" t="s">
        <v>38</v>
      </c>
      <c r="E49">
        <v>4.4000000000000004</v>
      </c>
      <c r="F49">
        <v>0</v>
      </c>
      <c r="G49">
        <v>88</v>
      </c>
      <c r="H49">
        <v>167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25</v>
      </c>
      <c r="B50" t="s">
        <v>39</v>
      </c>
      <c r="C50" t="s">
        <v>14</v>
      </c>
      <c r="D50" t="s">
        <v>40</v>
      </c>
      <c r="E50" t="s">
        <v>41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42</v>
      </c>
      <c r="L50">
        <v>0</v>
      </c>
    </row>
    <row r="51" spans="1:12" x14ac:dyDescent="0.3">
      <c r="A51" t="s">
        <v>12</v>
      </c>
      <c r="B51" t="s">
        <v>61</v>
      </c>
      <c r="C51" t="s">
        <v>62</v>
      </c>
      <c r="D51" t="s">
        <v>63</v>
      </c>
      <c r="E51" t="s">
        <v>64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42</v>
      </c>
      <c r="L51">
        <v>0</v>
      </c>
    </row>
    <row r="52" spans="1:12" x14ac:dyDescent="0.3">
      <c r="A52" t="s">
        <v>12</v>
      </c>
      <c r="B52" t="s">
        <v>74</v>
      </c>
      <c r="C52" t="s">
        <v>75</v>
      </c>
      <c r="D52" t="s">
        <v>75</v>
      </c>
      <c r="E52" t="s">
        <v>76</v>
      </c>
      <c r="F52">
        <v>0</v>
      </c>
      <c r="G52">
        <v>78</v>
      </c>
      <c r="H52">
        <v>125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12</v>
      </c>
      <c r="B53" t="s">
        <v>77</v>
      </c>
      <c r="C53" t="s">
        <v>14</v>
      </c>
      <c r="D53" t="s">
        <v>78</v>
      </c>
      <c r="E53">
        <v>1.18</v>
      </c>
      <c r="F53">
        <v>0</v>
      </c>
      <c r="G53">
        <v>27</v>
      </c>
      <c r="H53">
        <v>54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87</v>
      </c>
      <c r="B54" t="s">
        <v>88</v>
      </c>
      <c r="C54" t="s">
        <v>89</v>
      </c>
      <c r="D54" t="s">
        <v>90</v>
      </c>
      <c r="E54" t="s">
        <v>91</v>
      </c>
      <c r="F54">
        <v>0</v>
      </c>
      <c r="G54">
        <v>48</v>
      </c>
      <c r="H54">
        <v>64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12</v>
      </c>
      <c r="B55" t="s">
        <v>92</v>
      </c>
      <c r="C55" t="s">
        <v>93</v>
      </c>
      <c r="D55" t="s">
        <v>94</v>
      </c>
      <c r="E55" t="s">
        <v>95</v>
      </c>
      <c r="F55">
        <v>0</v>
      </c>
      <c r="G55">
        <v>64</v>
      </c>
      <c r="H55">
        <v>130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12</v>
      </c>
      <c r="B56" t="s">
        <v>99</v>
      </c>
      <c r="C56" t="s">
        <v>48</v>
      </c>
      <c r="D56" t="s">
        <v>49</v>
      </c>
      <c r="E56" t="s">
        <v>100</v>
      </c>
      <c r="F56">
        <v>0</v>
      </c>
      <c r="G56">
        <v>6</v>
      </c>
      <c r="H56">
        <v>9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87</v>
      </c>
      <c r="B57" t="s">
        <v>106</v>
      </c>
      <c r="C57" t="s">
        <v>14</v>
      </c>
      <c r="D57" t="s">
        <v>23</v>
      </c>
      <c r="E57" t="s">
        <v>107</v>
      </c>
      <c r="F57">
        <v>0</v>
      </c>
      <c r="G57">
        <v>116</v>
      </c>
      <c r="H57">
        <v>169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25</v>
      </c>
      <c r="B58" t="s">
        <v>108</v>
      </c>
      <c r="C58" t="s">
        <v>14</v>
      </c>
      <c r="D58" t="s">
        <v>109</v>
      </c>
      <c r="E58" t="s">
        <v>110</v>
      </c>
      <c r="F58">
        <v>0</v>
      </c>
      <c r="G58">
        <v>47</v>
      </c>
      <c r="H58">
        <v>77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25</v>
      </c>
      <c r="B59" t="s">
        <v>112</v>
      </c>
      <c r="C59" t="s">
        <v>14</v>
      </c>
      <c r="D59" t="s">
        <v>109</v>
      </c>
      <c r="E59" t="s">
        <v>110</v>
      </c>
      <c r="F59">
        <v>0</v>
      </c>
      <c r="G59">
        <v>73</v>
      </c>
      <c r="H59">
        <v>124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25</v>
      </c>
      <c r="B60" t="s">
        <v>113</v>
      </c>
      <c r="C60" t="s">
        <v>114</v>
      </c>
      <c r="D60" t="s">
        <v>115</v>
      </c>
      <c r="E60" t="s">
        <v>116</v>
      </c>
      <c r="F60">
        <v>0</v>
      </c>
      <c r="G60">
        <v>4</v>
      </c>
      <c r="H60">
        <v>8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12</v>
      </c>
      <c r="B61" t="s">
        <v>117</v>
      </c>
      <c r="C61" t="s">
        <v>14</v>
      </c>
      <c r="D61" t="s">
        <v>118</v>
      </c>
      <c r="E61" t="s">
        <v>119</v>
      </c>
      <c r="F61">
        <v>0</v>
      </c>
      <c r="G61">
        <v>11</v>
      </c>
      <c r="H61">
        <v>18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87</v>
      </c>
      <c r="B62" t="s">
        <v>124</v>
      </c>
      <c r="C62" t="s">
        <v>14</v>
      </c>
      <c r="D62" t="s">
        <v>23</v>
      </c>
      <c r="E62" t="s">
        <v>125</v>
      </c>
      <c r="F62">
        <v>0</v>
      </c>
      <c r="G62">
        <v>108</v>
      </c>
      <c r="H62">
        <v>174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25</v>
      </c>
      <c r="B63" t="s">
        <v>126</v>
      </c>
      <c r="C63" t="s">
        <v>127</v>
      </c>
      <c r="D63" t="s">
        <v>128</v>
      </c>
      <c r="E63" t="s">
        <v>129</v>
      </c>
      <c r="F63">
        <v>0</v>
      </c>
      <c r="G63">
        <v>3</v>
      </c>
      <c r="H63">
        <v>9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12</v>
      </c>
      <c r="B64" t="s">
        <v>130</v>
      </c>
      <c r="C64" t="s">
        <v>14</v>
      </c>
      <c r="D64" t="s">
        <v>131</v>
      </c>
      <c r="E64" t="s">
        <v>132</v>
      </c>
      <c r="F64">
        <v>0</v>
      </c>
      <c r="G64">
        <v>167</v>
      </c>
      <c r="H64">
        <v>319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87</v>
      </c>
      <c r="B65" t="s">
        <v>133</v>
      </c>
      <c r="C65" t="s">
        <v>14</v>
      </c>
      <c r="D65" t="s">
        <v>134</v>
      </c>
      <c r="E65" t="s">
        <v>135</v>
      </c>
      <c r="F65">
        <v>0</v>
      </c>
      <c r="G65">
        <v>105</v>
      </c>
      <c r="H65">
        <v>177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17</v>
      </c>
      <c r="B66" t="s">
        <v>289</v>
      </c>
      <c r="C66" t="s">
        <v>19</v>
      </c>
      <c r="D66" t="s">
        <v>20</v>
      </c>
      <c r="E66" t="s">
        <v>137</v>
      </c>
      <c r="F66">
        <v>0</v>
      </c>
      <c r="G66">
        <v>2</v>
      </c>
      <c r="H66">
        <v>3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25</v>
      </c>
      <c r="B67" t="s">
        <v>138</v>
      </c>
      <c r="C67" t="s">
        <v>139</v>
      </c>
      <c r="D67" t="s">
        <v>140</v>
      </c>
      <c r="E67" t="s">
        <v>141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87</v>
      </c>
      <c r="B68" t="s">
        <v>154</v>
      </c>
      <c r="C68" t="s">
        <v>19</v>
      </c>
      <c r="D68" t="s">
        <v>20</v>
      </c>
      <c r="E68" t="s">
        <v>155</v>
      </c>
      <c r="F68">
        <v>0</v>
      </c>
      <c r="G68">
        <v>26</v>
      </c>
      <c r="H68">
        <v>51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12</v>
      </c>
      <c r="B69" t="s">
        <v>156</v>
      </c>
      <c r="C69" t="s">
        <v>44</v>
      </c>
      <c r="D69" t="s">
        <v>157</v>
      </c>
      <c r="E69">
        <v>2.6</v>
      </c>
      <c r="F69">
        <v>0</v>
      </c>
      <c r="G69">
        <v>19</v>
      </c>
      <c r="H69">
        <v>32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87</v>
      </c>
      <c r="B70" t="s">
        <v>161</v>
      </c>
      <c r="C70" t="s">
        <v>14</v>
      </c>
      <c r="D70" t="s">
        <v>162</v>
      </c>
      <c r="E70" t="s">
        <v>163</v>
      </c>
      <c r="F70">
        <v>0</v>
      </c>
      <c r="G70">
        <v>31</v>
      </c>
      <c r="H70">
        <v>62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87</v>
      </c>
      <c r="B71" t="s">
        <v>168</v>
      </c>
      <c r="C71" t="s">
        <v>169</v>
      </c>
      <c r="D71" t="s">
        <v>151</v>
      </c>
      <c r="E71" t="s">
        <v>170</v>
      </c>
      <c r="F71">
        <v>0</v>
      </c>
      <c r="G71">
        <v>21</v>
      </c>
      <c r="H71">
        <v>41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25</v>
      </c>
      <c r="B72" t="s">
        <v>171</v>
      </c>
      <c r="C72" t="s">
        <v>172</v>
      </c>
      <c r="D72" t="s">
        <v>173</v>
      </c>
      <c r="E72" t="s">
        <v>174</v>
      </c>
      <c r="F72">
        <v>0</v>
      </c>
      <c r="G72">
        <v>57</v>
      </c>
      <c r="H72">
        <v>85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87</v>
      </c>
      <c r="B73" t="s">
        <v>180</v>
      </c>
      <c r="C73" t="s">
        <v>181</v>
      </c>
      <c r="D73" t="s">
        <v>182</v>
      </c>
      <c r="E73" t="s">
        <v>183</v>
      </c>
      <c r="F73">
        <v>0</v>
      </c>
      <c r="G73">
        <v>123</v>
      </c>
      <c r="H73">
        <v>229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12</v>
      </c>
      <c r="B74" t="s">
        <v>184</v>
      </c>
      <c r="C74" t="s">
        <v>185</v>
      </c>
      <c r="D74" t="s">
        <v>186</v>
      </c>
      <c r="E74" t="s">
        <v>187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42</v>
      </c>
      <c r="L74">
        <v>0</v>
      </c>
    </row>
    <row r="75" spans="1:12" x14ac:dyDescent="0.3">
      <c r="A75" t="s">
        <v>12</v>
      </c>
      <c r="B75" t="s">
        <v>188</v>
      </c>
      <c r="C75" t="s">
        <v>189</v>
      </c>
      <c r="D75" t="s">
        <v>190</v>
      </c>
      <c r="E75" t="s">
        <v>191</v>
      </c>
      <c r="F75">
        <v>0</v>
      </c>
      <c r="G75">
        <v>17</v>
      </c>
      <c r="H75">
        <v>24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12</v>
      </c>
      <c r="B76" t="s">
        <v>193</v>
      </c>
      <c r="C76" t="s">
        <v>194</v>
      </c>
      <c r="D76" t="s">
        <v>195</v>
      </c>
      <c r="E76" t="s">
        <v>196</v>
      </c>
      <c r="F76">
        <v>0</v>
      </c>
      <c r="G76">
        <v>13</v>
      </c>
      <c r="H76">
        <v>24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12</v>
      </c>
      <c r="B77" t="s">
        <v>197</v>
      </c>
      <c r="C77" t="s">
        <v>172</v>
      </c>
      <c r="D77" t="s">
        <v>198</v>
      </c>
      <c r="E77" t="s">
        <v>199</v>
      </c>
      <c r="F77">
        <v>0</v>
      </c>
      <c r="G77">
        <v>4</v>
      </c>
      <c r="H77">
        <v>5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12</v>
      </c>
      <c r="B78" t="s">
        <v>200</v>
      </c>
      <c r="C78" t="s">
        <v>201</v>
      </c>
      <c r="D78" t="s">
        <v>202</v>
      </c>
      <c r="E78" t="s">
        <v>203</v>
      </c>
      <c r="F78">
        <v>0</v>
      </c>
      <c r="G78">
        <v>48</v>
      </c>
      <c r="H78">
        <v>73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12</v>
      </c>
      <c r="B79" t="s">
        <v>204</v>
      </c>
      <c r="C79" t="s">
        <v>14</v>
      </c>
      <c r="D79" t="s">
        <v>205</v>
      </c>
      <c r="E79" t="s">
        <v>206</v>
      </c>
      <c r="F79">
        <v>0</v>
      </c>
      <c r="G79">
        <v>22</v>
      </c>
      <c r="H79">
        <v>51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12</v>
      </c>
      <c r="B80" t="s">
        <v>211</v>
      </c>
      <c r="C80" t="s">
        <v>212</v>
      </c>
      <c r="D80" t="s">
        <v>213</v>
      </c>
      <c r="E80" t="s">
        <v>214</v>
      </c>
      <c r="F80">
        <v>0</v>
      </c>
      <c r="G80">
        <v>18</v>
      </c>
      <c r="H80">
        <v>36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12</v>
      </c>
      <c r="B81" t="s">
        <v>221</v>
      </c>
      <c r="C81" t="s">
        <v>14</v>
      </c>
      <c r="D81" t="s">
        <v>205</v>
      </c>
      <c r="E81" t="s">
        <v>222</v>
      </c>
      <c r="F81">
        <v>0</v>
      </c>
      <c r="G81">
        <v>24</v>
      </c>
      <c r="H81">
        <v>52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12</v>
      </c>
      <c r="B82" t="s">
        <v>223</v>
      </c>
      <c r="C82" t="s">
        <v>224</v>
      </c>
      <c r="D82" t="s">
        <v>225</v>
      </c>
      <c r="E82" t="s">
        <v>226</v>
      </c>
      <c r="F82">
        <v>0</v>
      </c>
      <c r="G82">
        <v>4</v>
      </c>
      <c r="H82">
        <v>6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12</v>
      </c>
      <c r="B83" t="s">
        <v>227</v>
      </c>
      <c r="C83" t="s">
        <v>27</v>
      </c>
      <c r="D83" t="s">
        <v>27</v>
      </c>
      <c r="E83" t="s">
        <v>228</v>
      </c>
      <c r="F83">
        <v>0</v>
      </c>
      <c r="G83">
        <v>58</v>
      </c>
      <c r="H83">
        <v>80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87</v>
      </c>
      <c r="B84" t="s">
        <v>235</v>
      </c>
      <c r="C84" t="s">
        <v>44</v>
      </c>
      <c r="D84" t="s">
        <v>236</v>
      </c>
      <c r="E84">
        <v>1.9</v>
      </c>
      <c r="F84">
        <v>0</v>
      </c>
      <c r="G84">
        <v>3</v>
      </c>
      <c r="H84">
        <v>4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12</v>
      </c>
      <c r="B85" t="s">
        <v>244</v>
      </c>
      <c r="C85" t="s">
        <v>245</v>
      </c>
      <c r="D85" t="s">
        <v>246</v>
      </c>
      <c r="E85" t="s">
        <v>247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42</v>
      </c>
      <c r="L85">
        <v>0</v>
      </c>
    </row>
    <row r="86" spans="1:12" x14ac:dyDescent="0.3">
      <c r="A86" t="s">
        <v>25</v>
      </c>
      <c r="B86" t="s">
        <v>248</v>
      </c>
      <c r="C86" t="s">
        <v>194</v>
      </c>
      <c r="D86" t="s">
        <v>195</v>
      </c>
      <c r="E86">
        <v>14.6</v>
      </c>
      <c r="F86">
        <v>0</v>
      </c>
      <c r="G86">
        <v>31</v>
      </c>
      <c r="H86">
        <v>44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25</v>
      </c>
      <c r="B87" t="s">
        <v>249</v>
      </c>
      <c r="C87" t="s">
        <v>194</v>
      </c>
      <c r="D87" t="s">
        <v>195</v>
      </c>
      <c r="E87" t="s">
        <v>250</v>
      </c>
      <c r="F87">
        <v>0</v>
      </c>
      <c r="G87">
        <v>34</v>
      </c>
      <c r="H87">
        <v>50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25</v>
      </c>
      <c r="B88" t="s">
        <v>251</v>
      </c>
      <c r="C88" t="s">
        <v>194</v>
      </c>
      <c r="D88" t="s">
        <v>195</v>
      </c>
      <c r="E88" t="s">
        <v>252</v>
      </c>
      <c r="F88">
        <v>0</v>
      </c>
      <c r="G88">
        <v>37</v>
      </c>
      <c r="H88">
        <v>53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87</v>
      </c>
      <c r="B89" t="s">
        <v>253</v>
      </c>
      <c r="C89" t="s">
        <v>254</v>
      </c>
      <c r="D89" t="s">
        <v>255</v>
      </c>
      <c r="E89" t="s">
        <v>256</v>
      </c>
      <c r="F89">
        <v>0</v>
      </c>
      <c r="G89">
        <v>1</v>
      </c>
      <c r="H89">
        <v>2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25</v>
      </c>
      <c r="B90" t="s">
        <v>259</v>
      </c>
      <c r="C90" t="s">
        <v>260</v>
      </c>
      <c r="D90" t="s">
        <v>260</v>
      </c>
      <c r="E90" t="s">
        <v>261</v>
      </c>
      <c r="F90">
        <v>0</v>
      </c>
      <c r="G90">
        <v>2</v>
      </c>
      <c r="H90">
        <v>2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87</v>
      </c>
      <c r="B91" t="s">
        <v>262</v>
      </c>
      <c r="C91" t="s">
        <v>44</v>
      </c>
      <c r="D91" t="s">
        <v>263</v>
      </c>
      <c r="E91" t="s">
        <v>264</v>
      </c>
      <c r="F91">
        <v>0</v>
      </c>
      <c r="G91">
        <v>1</v>
      </c>
      <c r="H91">
        <v>3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12</v>
      </c>
      <c r="B92" t="s">
        <v>265</v>
      </c>
      <c r="C92" t="s">
        <v>14</v>
      </c>
      <c r="D92" t="s">
        <v>266</v>
      </c>
      <c r="E92" t="s">
        <v>267</v>
      </c>
      <c r="F92">
        <v>0</v>
      </c>
      <c r="G92">
        <v>3</v>
      </c>
      <c r="H92">
        <v>8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25</v>
      </c>
      <c r="B93" t="s">
        <v>271</v>
      </c>
      <c r="C93" t="s">
        <v>194</v>
      </c>
      <c r="D93" t="s">
        <v>195</v>
      </c>
      <c r="E93" t="s">
        <v>272</v>
      </c>
      <c r="F93">
        <v>0</v>
      </c>
      <c r="G93">
        <v>30</v>
      </c>
      <c r="H93">
        <v>60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25</v>
      </c>
      <c r="B94" t="s">
        <v>277</v>
      </c>
      <c r="C94" t="s">
        <v>194</v>
      </c>
      <c r="D94" t="s">
        <v>278</v>
      </c>
      <c r="E94" t="s">
        <v>252</v>
      </c>
      <c r="F94">
        <v>0</v>
      </c>
      <c r="G94">
        <v>63</v>
      </c>
      <c r="H94">
        <v>99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12</v>
      </c>
      <c r="B95" t="s">
        <v>279</v>
      </c>
      <c r="C95" t="s">
        <v>280</v>
      </c>
      <c r="D95" t="s">
        <v>281</v>
      </c>
      <c r="E95" t="s">
        <v>282</v>
      </c>
      <c r="F95">
        <v>0</v>
      </c>
      <c r="G95">
        <v>11</v>
      </c>
      <c r="H95">
        <v>17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12</v>
      </c>
      <c r="B96" t="s">
        <v>285</v>
      </c>
      <c r="C96" t="s">
        <v>14</v>
      </c>
      <c r="D96" t="s">
        <v>286</v>
      </c>
      <c r="E96" t="s">
        <v>287</v>
      </c>
      <c r="F96">
        <v>0</v>
      </c>
      <c r="G96">
        <v>10</v>
      </c>
      <c r="H96">
        <v>21</v>
      </c>
      <c r="I96">
        <v>0</v>
      </c>
      <c r="J96">
        <v>0</v>
      </c>
      <c r="K96">
        <v>0</v>
      </c>
      <c r="L96">
        <v>0</v>
      </c>
    </row>
  </sheetData>
  <sortState xmlns:xlrd2="http://schemas.microsoft.com/office/spreadsheetml/2017/richdata2" ref="A2:L96">
    <sortCondition descending="1" ref="F1:F96"/>
  </sortState>
  <phoneticPr fontId="19" type="noConversion"/>
  <conditionalFormatting sqref="B1:B1048576">
    <cfRule type="duplicateValues" dxfId="5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1B17-8E03-467F-9B0A-2A7751CDAEB6}">
  <dimension ref="A1:L96"/>
  <sheetViews>
    <sheetView zoomScaleNormal="100" workbookViewId="0">
      <selection activeCell="F2" sqref="F2:F45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83</v>
      </c>
      <c r="C2" t="s">
        <v>84</v>
      </c>
      <c r="D2" t="s">
        <v>85</v>
      </c>
      <c r="E2" t="s">
        <v>86</v>
      </c>
      <c r="F2">
        <v>1</v>
      </c>
      <c r="G2">
        <v>32</v>
      </c>
      <c r="H2">
        <v>63</v>
      </c>
      <c r="I2">
        <v>2</v>
      </c>
      <c r="J2">
        <v>3</v>
      </c>
      <c r="K2">
        <v>6.25E-2</v>
      </c>
      <c r="L2">
        <v>0.1176470588</v>
      </c>
    </row>
    <row r="3" spans="1:12" x14ac:dyDescent="0.3">
      <c r="A3" t="s">
        <v>12</v>
      </c>
      <c r="B3" t="s">
        <v>96</v>
      </c>
      <c r="C3" t="s">
        <v>14</v>
      </c>
      <c r="D3" t="s">
        <v>97</v>
      </c>
      <c r="E3" t="s">
        <v>98</v>
      </c>
      <c r="F3">
        <v>1</v>
      </c>
      <c r="G3">
        <v>338</v>
      </c>
      <c r="H3">
        <v>578</v>
      </c>
      <c r="I3">
        <v>2</v>
      </c>
      <c r="J3">
        <v>3</v>
      </c>
      <c r="K3">
        <v>5.9171597629999999E-3</v>
      </c>
      <c r="L3">
        <v>1.176470588E-2</v>
      </c>
    </row>
    <row r="4" spans="1:12" x14ac:dyDescent="0.3">
      <c r="A4" t="s">
        <v>12</v>
      </c>
      <c r="B4" t="s">
        <v>77</v>
      </c>
      <c r="C4" t="s">
        <v>14</v>
      </c>
      <c r="D4" t="s">
        <v>78</v>
      </c>
      <c r="E4">
        <v>1.18</v>
      </c>
      <c r="F4">
        <v>1</v>
      </c>
      <c r="G4">
        <v>187</v>
      </c>
      <c r="H4">
        <v>398</v>
      </c>
      <c r="I4">
        <v>5</v>
      </c>
      <c r="J4">
        <v>8</v>
      </c>
      <c r="K4">
        <v>2.673796791E-2</v>
      </c>
      <c r="L4">
        <v>5.2083333330000002E-2</v>
      </c>
    </row>
    <row r="5" spans="1:12" x14ac:dyDescent="0.3">
      <c r="A5" t="s">
        <v>12</v>
      </c>
      <c r="B5" t="s">
        <v>101</v>
      </c>
      <c r="C5" t="s">
        <v>14</v>
      </c>
      <c r="D5" t="s">
        <v>97</v>
      </c>
      <c r="E5" t="s">
        <v>102</v>
      </c>
      <c r="F5">
        <v>1</v>
      </c>
      <c r="G5">
        <v>1364</v>
      </c>
      <c r="H5">
        <v>2583</v>
      </c>
      <c r="I5">
        <v>38</v>
      </c>
      <c r="J5">
        <v>74</v>
      </c>
      <c r="K5">
        <v>2.7859237540000002E-2</v>
      </c>
      <c r="L5">
        <v>5.4208273889999999E-2</v>
      </c>
    </row>
    <row r="6" spans="1:12" x14ac:dyDescent="0.3">
      <c r="A6" t="s">
        <v>12</v>
      </c>
      <c r="B6" t="s">
        <v>103</v>
      </c>
      <c r="C6" t="s">
        <v>44</v>
      </c>
      <c r="D6" t="s">
        <v>104</v>
      </c>
      <c r="E6" t="s">
        <v>105</v>
      </c>
      <c r="F6">
        <v>1</v>
      </c>
      <c r="G6">
        <v>172</v>
      </c>
      <c r="H6">
        <v>381</v>
      </c>
      <c r="I6">
        <v>3</v>
      </c>
      <c r="J6">
        <v>5</v>
      </c>
      <c r="K6">
        <v>1.7441860470000001E-2</v>
      </c>
      <c r="L6">
        <v>3.4285714289999998E-2</v>
      </c>
    </row>
    <row r="7" spans="1:12" x14ac:dyDescent="0.3">
      <c r="A7" t="s">
        <v>12</v>
      </c>
      <c r="B7" t="s">
        <v>146</v>
      </c>
      <c r="C7" t="s">
        <v>147</v>
      </c>
      <c r="D7" t="s">
        <v>148</v>
      </c>
      <c r="E7" t="s">
        <v>149</v>
      </c>
      <c r="F7">
        <v>1</v>
      </c>
      <c r="G7">
        <v>58</v>
      </c>
      <c r="H7">
        <v>153</v>
      </c>
      <c r="I7">
        <v>11</v>
      </c>
      <c r="J7">
        <v>22</v>
      </c>
      <c r="K7">
        <v>0.18965517239999999</v>
      </c>
      <c r="L7">
        <v>0.31884057970000002</v>
      </c>
    </row>
    <row r="8" spans="1:12" x14ac:dyDescent="0.3">
      <c r="A8" t="s">
        <v>12</v>
      </c>
      <c r="B8" t="s">
        <v>117</v>
      </c>
      <c r="C8" t="s">
        <v>14</v>
      </c>
      <c r="D8" t="s">
        <v>118</v>
      </c>
      <c r="E8" t="s">
        <v>119</v>
      </c>
      <c r="F8">
        <v>1</v>
      </c>
      <c r="G8">
        <v>131</v>
      </c>
      <c r="H8">
        <v>223</v>
      </c>
      <c r="I8">
        <v>1</v>
      </c>
      <c r="J8">
        <v>1</v>
      </c>
      <c r="K8">
        <v>7.6335877860000002E-3</v>
      </c>
      <c r="L8">
        <v>1.5151515149999999E-2</v>
      </c>
    </row>
    <row r="9" spans="1:12" x14ac:dyDescent="0.3">
      <c r="A9" t="s">
        <v>12</v>
      </c>
      <c r="B9" t="s">
        <v>142</v>
      </c>
      <c r="C9" t="s">
        <v>143</v>
      </c>
      <c r="D9" t="s">
        <v>144</v>
      </c>
      <c r="E9" t="s">
        <v>145</v>
      </c>
      <c r="F9">
        <v>1</v>
      </c>
      <c r="G9">
        <v>134</v>
      </c>
      <c r="H9">
        <v>256</v>
      </c>
      <c r="I9">
        <v>1</v>
      </c>
      <c r="J9">
        <v>1</v>
      </c>
      <c r="K9">
        <v>7.4626865670000004E-3</v>
      </c>
      <c r="L9">
        <v>1.481481481E-2</v>
      </c>
    </row>
    <row r="10" spans="1:12" x14ac:dyDescent="0.3">
      <c r="A10" t="s">
        <v>12</v>
      </c>
      <c r="B10" t="s">
        <v>150</v>
      </c>
      <c r="C10" t="s">
        <v>151</v>
      </c>
      <c r="D10" t="s">
        <v>152</v>
      </c>
      <c r="E10" t="s">
        <v>153</v>
      </c>
      <c r="F10">
        <v>1</v>
      </c>
      <c r="G10">
        <v>32</v>
      </c>
      <c r="H10">
        <v>65</v>
      </c>
      <c r="I10">
        <v>1</v>
      </c>
      <c r="J10">
        <v>2</v>
      </c>
      <c r="K10">
        <v>3.125E-2</v>
      </c>
      <c r="L10">
        <v>6.0606060609999998E-2</v>
      </c>
    </row>
    <row r="11" spans="1:12" x14ac:dyDescent="0.3">
      <c r="A11" t="s">
        <v>12</v>
      </c>
      <c r="B11" t="s">
        <v>177</v>
      </c>
      <c r="C11" t="s">
        <v>44</v>
      </c>
      <c r="D11" t="s">
        <v>178</v>
      </c>
      <c r="E11" t="s">
        <v>179</v>
      </c>
      <c r="F11">
        <v>1</v>
      </c>
      <c r="G11">
        <v>46</v>
      </c>
      <c r="H11">
        <v>91</v>
      </c>
      <c r="I11">
        <v>3</v>
      </c>
      <c r="J11">
        <v>4</v>
      </c>
      <c r="K11">
        <v>6.5217391299999997E-2</v>
      </c>
      <c r="L11">
        <v>0.12244897959999999</v>
      </c>
    </row>
    <row r="12" spans="1:12" x14ac:dyDescent="0.3">
      <c r="A12" t="s">
        <v>12</v>
      </c>
      <c r="B12" t="s">
        <v>70</v>
      </c>
      <c r="C12" t="s">
        <v>71</v>
      </c>
      <c r="D12" t="s">
        <v>72</v>
      </c>
      <c r="E12" t="s">
        <v>73</v>
      </c>
      <c r="F12">
        <v>1</v>
      </c>
      <c r="G12">
        <v>12</v>
      </c>
      <c r="H12">
        <v>26</v>
      </c>
      <c r="I12">
        <v>3</v>
      </c>
      <c r="J12">
        <v>5</v>
      </c>
      <c r="K12">
        <v>0.25</v>
      </c>
      <c r="L12">
        <v>0.4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>
        <v>1</v>
      </c>
      <c r="G13">
        <v>472</v>
      </c>
      <c r="H13">
        <v>805</v>
      </c>
      <c r="I13">
        <v>3</v>
      </c>
      <c r="J13">
        <v>5</v>
      </c>
      <c r="K13">
        <v>6.3559322030000004E-3</v>
      </c>
      <c r="L13">
        <v>1.263157895E-2</v>
      </c>
    </row>
    <row r="14" spans="1:12" x14ac:dyDescent="0.3">
      <c r="A14" t="s">
        <v>12</v>
      </c>
      <c r="B14" t="s">
        <v>29</v>
      </c>
      <c r="C14" t="s">
        <v>30</v>
      </c>
      <c r="D14" t="s">
        <v>31</v>
      </c>
      <c r="E14" t="s">
        <v>32</v>
      </c>
      <c r="F14">
        <v>1</v>
      </c>
      <c r="G14">
        <v>141</v>
      </c>
      <c r="H14">
        <v>254</v>
      </c>
      <c r="I14">
        <v>3</v>
      </c>
      <c r="J14">
        <v>3</v>
      </c>
      <c r="K14">
        <v>2.1276595740000001E-2</v>
      </c>
      <c r="L14">
        <v>4.1666666669999998E-2</v>
      </c>
    </row>
    <row r="15" spans="1:12" x14ac:dyDescent="0.3">
      <c r="A15" t="s">
        <v>12</v>
      </c>
      <c r="B15" t="s">
        <v>79</v>
      </c>
      <c r="C15" t="s">
        <v>80</v>
      </c>
      <c r="D15" t="s">
        <v>81</v>
      </c>
      <c r="E15" t="s">
        <v>82</v>
      </c>
      <c r="F15">
        <v>1</v>
      </c>
      <c r="G15">
        <v>109</v>
      </c>
      <c r="H15">
        <v>281</v>
      </c>
      <c r="I15">
        <v>6</v>
      </c>
      <c r="J15">
        <v>14</v>
      </c>
      <c r="K15">
        <v>5.5045871560000001E-2</v>
      </c>
      <c r="L15">
        <v>0.1043478261</v>
      </c>
    </row>
    <row r="16" spans="1:12" x14ac:dyDescent="0.3">
      <c r="A16" t="s">
        <v>12</v>
      </c>
      <c r="B16" t="s">
        <v>65</v>
      </c>
      <c r="C16" t="s">
        <v>52</v>
      </c>
      <c r="D16" t="s">
        <v>66</v>
      </c>
      <c r="E16">
        <v>3.5</v>
      </c>
      <c r="F16">
        <v>1</v>
      </c>
      <c r="G16">
        <v>25</v>
      </c>
      <c r="H16">
        <v>37</v>
      </c>
      <c r="I16">
        <v>2</v>
      </c>
      <c r="J16">
        <v>3</v>
      </c>
      <c r="K16">
        <v>0.08</v>
      </c>
      <c r="L16">
        <v>0.14814814809999999</v>
      </c>
    </row>
    <row r="17" spans="1:12" x14ac:dyDescent="0.3">
      <c r="A17" t="s">
        <v>12</v>
      </c>
      <c r="B17" t="s">
        <v>67</v>
      </c>
      <c r="C17" t="s">
        <v>68</v>
      </c>
      <c r="D17" t="s">
        <v>69</v>
      </c>
      <c r="E17">
        <v>1.1200000000000001</v>
      </c>
      <c r="F17">
        <v>1</v>
      </c>
      <c r="G17">
        <v>39</v>
      </c>
      <c r="H17">
        <v>79</v>
      </c>
      <c r="I17">
        <v>2</v>
      </c>
      <c r="J17">
        <v>2</v>
      </c>
      <c r="K17">
        <v>5.1282051279999998E-2</v>
      </c>
      <c r="L17">
        <v>9.7560975610000003E-2</v>
      </c>
    </row>
    <row r="18" spans="1:12" x14ac:dyDescent="0.3">
      <c r="A18" t="s">
        <v>12</v>
      </c>
      <c r="B18" t="s">
        <v>217</v>
      </c>
      <c r="C18" t="s">
        <v>38</v>
      </c>
      <c r="D18" t="s">
        <v>38</v>
      </c>
      <c r="E18">
        <v>5.0999999999999996</v>
      </c>
      <c r="F18">
        <v>1</v>
      </c>
      <c r="G18">
        <v>783</v>
      </c>
      <c r="H18">
        <v>1752</v>
      </c>
      <c r="I18">
        <v>20</v>
      </c>
      <c r="J18">
        <v>42</v>
      </c>
      <c r="K18">
        <v>2.5542784159999998E-2</v>
      </c>
      <c r="L18">
        <v>4.9813200500000002E-2</v>
      </c>
    </row>
    <row r="19" spans="1:12" x14ac:dyDescent="0.3">
      <c r="A19" t="s">
        <v>12</v>
      </c>
      <c r="B19" t="s">
        <v>216</v>
      </c>
      <c r="C19" t="s">
        <v>38</v>
      </c>
      <c r="D19" t="s">
        <v>38</v>
      </c>
      <c r="E19">
        <v>5.0999999999999996</v>
      </c>
      <c r="F19">
        <v>1</v>
      </c>
      <c r="G19">
        <v>239</v>
      </c>
      <c r="H19">
        <v>499</v>
      </c>
      <c r="I19">
        <v>2</v>
      </c>
      <c r="J19">
        <v>6</v>
      </c>
      <c r="K19">
        <v>8.3682008369999998E-3</v>
      </c>
      <c r="L19">
        <v>1.6597510369999999E-2</v>
      </c>
    </row>
    <row r="20" spans="1:12" x14ac:dyDescent="0.3">
      <c r="A20" t="s">
        <v>12</v>
      </c>
      <c r="B20" t="s">
        <v>200</v>
      </c>
      <c r="C20" t="s">
        <v>201</v>
      </c>
      <c r="D20" t="s">
        <v>202</v>
      </c>
      <c r="E20" t="s">
        <v>203</v>
      </c>
      <c r="F20">
        <v>1</v>
      </c>
      <c r="G20">
        <v>186</v>
      </c>
      <c r="H20">
        <v>408</v>
      </c>
      <c r="I20">
        <v>3</v>
      </c>
      <c r="J20">
        <v>8</v>
      </c>
      <c r="K20">
        <v>1.6129032259999999E-2</v>
      </c>
      <c r="L20">
        <v>3.1746031750000001E-2</v>
      </c>
    </row>
    <row r="21" spans="1:12" x14ac:dyDescent="0.3">
      <c r="A21" t="s">
        <v>12</v>
      </c>
      <c r="B21" t="s">
        <v>229</v>
      </c>
      <c r="C21" t="s">
        <v>230</v>
      </c>
      <c r="D21" t="s">
        <v>231</v>
      </c>
      <c r="E21">
        <v>7.5</v>
      </c>
      <c r="F21">
        <v>1</v>
      </c>
      <c r="G21">
        <v>74</v>
      </c>
      <c r="H21">
        <v>142</v>
      </c>
      <c r="I21">
        <v>13</v>
      </c>
      <c r="J21">
        <v>19</v>
      </c>
      <c r="K21">
        <v>0.17567567570000001</v>
      </c>
      <c r="L21">
        <v>0.29885057469999998</v>
      </c>
    </row>
    <row r="22" spans="1:12" x14ac:dyDescent="0.3">
      <c r="A22" t="s">
        <v>12</v>
      </c>
      <c r="B22" t="s">
        <v>218</v>
      </c>
      <c r="C22" t="s">
        <v>14</v>
      </c>
      <c r="D22" t="s">
        <v>219</v>
      </c>
      <c r="E22" t="s">
        <v>220</v>
      </c>
      <c r="F22">
        <v>1</v>
      </c>
      <c r="G22">
        <v>267</v>
      </c>
      <c r="H22">
        <v>529</v>
      </c>
      <c r="I22">
        <v>22</v>
      </c>
      <c r="J22">
        <v>42</v>
      </c>
      <c r="K22">
        <v>8.2397003750000003E-2</v>
      </c>
      <c r="L22">
        <v>0.1522491349</v>
      </c>
    </row>
    <row r="23" spans="1:12" x14ac:dyDescent="0.3">
      <c r="A23" t="s">
        <v>12</v>
      </c>
      <c r="B23" t="s">
        <v>279</v>
      </c>
      <c r="C23" t="s">
        <v>280</v>
      </c>
      <c r="D23" t="s">
        <v>281</v>
      </c>
      <c r="E23" t="s">
        <v>282</v>
      </c>
      <c r="F23">
        <v>1</v>
      </c>
      <c r="G23">
        <v>337</v>
      </c>
      <c r="H23">
        <v>504</v>
      </c>
      <c r="I23">
        <v>1</v>
      </c>
      <c r="J23">
        <v>1</v>
      </c>
      <c r="K23">
        <v>2.9673590499999999E-3</v>
      </c>
      <c r="L23">
        <v>5.9171597629999999E-3</v>
      </c>
    </row>
    <row r="24" spans="1:12" x14ac:dyDescent="0.3">
      <c r="A24" t="s">
        <v>12</v>
      </c>
      <c r="B24" t="s">
        <v>268</v>
      </c>
      <c r="C24" t="s">
        <v>14</v>
      </c>
      <c r="D24" t="s">
        <v>269</v>
      </c>
      <c r="E24" t="s">
        <v>270</v>
      </c>
      <c r="F24">
        <v>1</v>
      </c>
      <c r="G24">
        <v>191</v>
      </c>
      <c r="H24">
        <v>327</v>
      </c>
      <c r="I24">
        <v>45</v>
      </c>
      <c r="J24">
        <v>75</v>
      </c>
      <c r="K24">
        <v>0.2356020942</v>
      </c>
      <c r="L24">
        <v>0.38135593220000003</v>
      </c>
    </row>
    <row r="25" spans="1:12" x14ac:dyDescent="0.3">
      <c r="A25" t="s">
        <v>12</v>
      </c>
      <c r="B25" t="s">
        <v>233</v>
      </c>
      <c r="C25" t="s">
        <v>52</v>
      </c>
      <c r="D25" t="s">
        <v>53</v>
      </c>
      <c r="E25" t="s">
        <v>234</v>
      </c>
      <c r="F25">
        <v>1</v>
      </c>
      <c r="G25">
        <v>53</v>
      </c>
      <c r="H25">
        <v>111</v>
      </c>
      <c r="I25">
        <v>2</v>
      </c>
      <c r="J25">
        <v>8</v>
      </c>
      <c r="K25">
        <v>3.773584906E-2</v>
      </c>
      <c r="L25">
        <v>7.272727273E-2</v>
      </c>
    </row>
    <row r="26" spans="1:12" x14ac:dyDescent="0.3">
      <c r="A26" t="s">
        <v>25</v>
      </c>
      <c r="B26" t="s">
        <v>33</v>
      </c>
      <c r="C26" t="s">
        <v>34</v>
      </c>
      <c r="D26" t="s">
        <v>35</v>
      </c>
      <c r="E26" t="s">
        <v>36</v>
      </c>
      <c r="F26">
        <v>1</v>
      </c>
      <c r="G26">
        <v>20</v>
      </c>
      <c r="H26">
        <v>61</v>
      </c>
      <c r="I26">
        <v>3</v>
      </c>
      <c r="J26">
        <v>9</v>
      </c>
      <c r="K26">
        <v>0.15</v>
      </c>
      <c r="L26">
        <v>0.26086956519999999</v>
      </c>
    </row>
    <row r="27" spans="1:12" x14ac:dyDescent="0.3">
      <c r="A27" t="s">
        <v>25</v>
      </c>
      <c r="B27" t="s">
        <v>55</v>
      </c>
      <c r="C27" t="s">
        <v>34</v>
      </c>
      <c r="D27" t="s">
        <v>35</v>
      </c>
      <c r="E27" t="s">
        <v>56</v>
      </c>
      <c r="F27">
        <v>1</v>
      </c>
      <c r="G27">
        <v>20</v>
      </c>
      <c r="H27">
        <v>61</v>
      </c>
      <c r="I27">
        <v>1</v>
      </c>
      <c r="J27">
        <v>4</v>
      </c>
      <c r="K27">
        <v>0.05</v>
      </c>
      <c r="L27">
        <v>9.5238095240000001E-2</v>
      </c>
    </row>
    <row r="28" spans="1:12" x14ac:dyDescent="0.3">
      <c r="A28" t="s">
        <v>25</v>
      </c>
      <c r="B28" t="s">
        <v>111</v>
      </c>
      <c r="C28" t="s">
        <v>14</v>
      </c>
      <c r="D28" t="s">
        <v>109</v>
      </c>
      <c r="E28" t="s">
        <v>110</v>
      </c>
      <c r="F28">
        <v>1</v>
      </c>
      <c r="G28">
        <v>553</v>
      </c>
      <c r="H28">
        <v>1336</v>
      </c>
      <c r="I28">
        <v>3</v>
      </c>
      <c r="J28">
        <v>5</v>
      </c>
      <c r="K28">
        <v>5.4249547920000004E-3</v>
      </c>
      <c r="L28">
        <v>1.0791366910000001E-2</v>
      </c>
    </row>
    <row r="29" spans="1:12" x14ac:dyDescent="0.3">
      <c r="A29" t="s">
        <v>25</v>
      </c>
      <c r="B29" t="s">
        <v>112</v>
      </c>
      <c r="C29" t="s">
        <v>14</v>
      </c>
      <c r="D29" t="s">
        <v>109</v>
      </c>
      <c r="E29" t="s">
        <v>110</v>
      </c>
      <c r="F29">
        <v>1</v>
      </c>
      <c r="G29">
        <v>553</v>
      </c>
      <c r="H29">
        <v>1336</v>
      </c>
      <c r="I29">
        <v>5</v>
      </c>
      <c r="J29">
        <v>14</v>
      </c>
      <c r="K29">
        <v>9.0415913200000003E-3</v>
      </c>
      <c r="L29">
        <v>1.7921146950000001E-2</v>
      </c>
    </row>
    <row r="30" spans="1:12" x14ac:dyDescent="0.3">
      <c r="A30" t="s">
        <v>25</v>
      </c>
      <c r="B30" t="s">
        <v>192</v>
      </c>
      <c r="C30" t="s">
        <v>189</v>
      </c>
      <c r="D30" t="s">
        <v>190</v>
      </c>
      <c r="E30" t="s">
        <v>191</v>
      </c>
      <c r="F30">
        <v>1</v>
      </c>
      <c r="G30">
        <v>3</v>
      </c>
      <c r="H30">
        <v>11</v>
      </c>
      <c r="I30">
        <v>1</v>
      </c>
      <c r="J30">
        <v>4</v>
      </c>
      <c r="K30">
        <v>0.33333333329999998</v>
      </c>
      <c r="L30">
        <v>0.5</v>
      </c>
    </row>
    <row r="31" spans="1:12" x14ac:dyDescent="0.3">
      <c r="A31" t="s">
        <v>25</v>
      </c>
      <c r="B31" t="s">
        <v>209</v>
      </c>
      <c r="C31" t="s">
        <v>34</v>
      </c>
      <c r="D31" t="s">
        <v>35</v>
      </c>
      <c r="E31" t="s">
        <v>210</v>
      </c>
      <c r="F31">
        <v>1</v>
      </c>
      <c r="G31">
        <v>28</v>
      </c>
      <c r="H31">
        <v>67</v>
      </c>
      <c r="I31">
        <v>1</v>
      </c>
      <c r="J31">
        <v>1</v>
      </c>
      <c r="K31">
        <v>3.5714285710000002E-2</v>
      </c>
      <c r="L31">
        <v>6.8965517239999996E-2</v>
      </c>
    </row>
    <row r="32" spans="1:12" x14ac:dyDescent="0.3">
      <c r="A32" t="s">
        <v>25</v>
      </c>
      <c r="B32" t="s">
        <v>57</v>
      </c>
      <c r="C32" t="s">
        <v>58</v>
      </c>
      <c r="D32" t="s">
        <v>59</v>
      </c>
      <c r="E32" t="s">
        <v>60</v>
      </c>
      <c r="F32">
        <v>1</v>
      </c>
      <c r="G32">
        <v>149</v>
      </c>
      <c r="H32">
        <v>335</v>
      </c>
      <c r="I32">
        <v>3</v>
      </c>
      <c r="J32">
        <v>5</v>
      </c>
      <c r="K32">
        <v>2.0134228189999999E-2</v>
      </c>
      <c r="L32">
        <v>3.9473684209999998E-2</v>
      </c>
    </row>
    <row r="33" spans="1:12" x14ac:dyDescent="0.3">
      <c r="A33" t="s">
        <v>25</v>
      </c>
      <c r="B33" t="s">
        <v>232</v>
      </c>
      <c r="C33" t="s">
        <v>27</v>
      </c>
      <c r="D33" t="s">
        <v>27</v>
      </c>
      <c r="E33" t="s">
        <v>176</v>
      </c>
      <c r="F33">
        <v>1</v>
      </c>
      <c r="G33">
        <v>1833</v>
      </c>
      <c r="H33">
        <v>3557</v>
      </c>
      <c r="I33">
        <v>30</v>
      </c>
      <c r="J33">
        <v>51</v>
      </c>
      <c r="K33">
        <v>1.6366612110000001E-2</v>
      </c>
      <c r="L33">
        <v>3.2206119159999998E-2</v>
      </c>
    </row>
    <row r="34" spans="1:12" x14ac:dyDescent="0.3">
      <c r="A34" t="s">
        <v>25</v>
      </c>
      <c r="B34" t="s">
        <v>175</v>
      </c>
      <c r="C34" t="s">
        <v>27</v>
      </c>
      <c r="D34" t="s">
        <v>27</v>
      </c>
      <c r="E34" t="s">
        <v>176</v>
      </c>
      <c r="F34">
        <v>1</v>
      </c>
      <c r="G34">
        <v>1153</v>
      </c>
      <c r="H34">
        <v>2373</v>
      </c>
      <c r="I34">
        <v>10</v>
      </c>
      <c r="J34">
        <v>21</v>
      </c>
      <c r="K34">
        <v>8.6730268859999994E-3</v>
      </c>
      <c r="L34">
        <v>1.719690456E-2</v>
      </c>
    </row>
    <row r="35" spans="1:12" x14ac:dyDescent="0.3">
      <c r="A35" t="s">
        <v>25</v>
      </c>
      <c r="B35" t="s">
        <v>251</v>
      </c>
      <c r="C35" t="s">
        <v>194</v>
      </c>
      <c r="D35" t="s">
        <v>195</v>
      </c>
      <c r="E35" t="s">
        <v>252</v>
      </c>
      <c r="F35">
        <v>1</v>
      </c>
      <c r="G35">
        <v>37</v>
      </c>
      <c r="H35">
        <v>77</v>
      </c>
      <c r="I35">
        <v>4</v>
      </c>
      <c r="J35">
        <v>9</v>
      </c>
      <c r="K35">
        <v>0.1081081081</v>
      </c>
      <c r="L35">
        <v>0.1951219512</v>
      </c>
    </row>
    <row r="36" spans="1:12" x14ac:dyDescent="0.3">
      <c r="A36" t="s">
        <v>25</v>
      </c>
      <c r="B36" t="s">
        <v>242</v>
      </c>
      <c r="C36" t="s">
        <v>14</v>
      </c>
      <c r="D36" t="s">
        <v>109</v>
      </c>
      <c r="E36" t="s">
        <v>243</v>
      </c>
      <c r="F36">
        <v>1</v>
      </c>
      <c r="G36">
        <v>660</v>
      </c>
      <c r="H36">
        <v>1589</v>
      </c>
      <c r="I36">
        <v>49</v>
      </c>
      <c r="J36">
        <v>82</v>
      </c>
      <c r="K36">
        <v>7.4242424239999993E-2</v>
      </c>
      <c r="L36">
        <v>0.13822284909999999</v>
      </c>
    </row>
    <row r="37" spans="1:12" x14ac:dyDescent="0.3">
      <c r="A37" t="s">
        <v>25</v>
      </c>
      <c r="B37" t="s">
        <v>237</v>
      </c>
      <c r="C37" t="s">
        <v>27</v>
      </c>
      <c r="D37" t="s">
        <v>27</v>
      </c>
      <c r="E37" t="s">
        <v>238</v>
      </c>
      <c r="F37">
        <v>1</v>
      </c>
      <c r="G37">
        <v>290</v>
      </c>
      <c r="H37">
        <v>558</v>
      </c>
      <c r="I37">
        <v>3</v>
      </c>
      <c r="J37">
        <v>3</v>
      </c>
      <c r="K37">
        <v>1.0344827589999999E-2</v>
      </c>
      <c r="L37">
        <v>2.0477815699999999E-2</v>
      </c>
    </row>
    <row r="38" spans="1:12" x14ac:dyDescent="0.3">
      <c r="A38" t="s">
        <v>87</v>
      </c>
      <c r="B38" t="s">
        <v>164</v>
      </c>
      <c r="C38" t="s">
        <v>165</v>
      </c>
      <c r="D38" t="s">
        <v>166</v>
      </c>
      <c r="E38" t="s">
        <v>167</v>
      </c>
      <c r="F38">
        <v>1</v>
      </c>
      <c r="G38">
        <v>32</v>
      </c>
      <c r="H38">
        <v>89</v>
      </c>
      <c r="I38">
        <v>27</v>
      </c>
      <c r="J38">
        <v>80</v>
      </c>
      <c r="K38">
        <v>0.84375</v>
      </c>
      <c r="L38">
        <v>0.9152542373</v>
      </c>
    </row>
    <row r="39" spans="1:12" x14ac:dyDescent="0.3">
      <c r="A39" t="s">
        <v>87</v>
      </c>
      <c r="B39" t="s">
        <v>133</v>
      </c>
      <c r="C39" t="s">
        <v>14</v>
      </c>
      <c r="D39" t="s">
        <v>134</v>
      </c>
      <c r="E39" t="s">
        <v>135</v>
      </c>
      <c r="F39">
        <v>1</v>
      </c>
      <c r="G39">
        <v>1483</v>
      </c>
      <c r="H39">
        <v>3570</v>
      </c>
      <c r="I39">
        <v>3</v>
      </c>
      <c r="J39">
        <v>8</v>
      </c>
      <c r="K39">
        <v>2.0229265000000001E-3</v>
      </c>
      <c r="L39">
        <v>4.0376850610000002E-3</v>
      </c>
    </row>
    <row r="40" spans="1:12" x14ac:dyDescent="0.3">
      <c r="A40" t="s">
        <v>87</v>
      </c>
      <c r="B40" t="s">
        <v>124</v>
      </c>
      <c r="C40" t="s">
        <v>14</v>
      </c>
      <c r="D40" t="s">
        <v>23</v>
      </c>
      <c r="E40" t="s">
        <v>125</v>
      </c>
      <c r="F40">
        <v>1</v>
      </c>
      <c r="G40">
        <v>1818</v>
      </c>
      <c r="H40">
        <v>3288</v>
      </c>
      <c r="I40">
        <v>3</v>
      </c>
      <c r="J40">
        <v>7</v>
      </c>
      <c r="K40">
        <v>1.650165017E-3</v>
      </c>
      <c r="L40">
        <v>3.294892916E-3</v>
      </c>
    </row>
    <row r="41" spans="1:12" x14ac:dyDescent="0.3">
      <c r="A41" t="s">
        <v>87</v>
      </c>
      <c r="B41" t="s">
        <v>158</v>
      </c>
      <c r="C41" t="s">
        <v>14</v>
      </c>
      <c r="D41" t="s">
        <v>159</v>
      </c>
      <c r="E41" t="s">
        <v>160</v>
      </c>
      <c r="F41">
        <v>1</v>
      </c>
      <c r="G41">
        <v>1425</v>
      </c>
      <c r="H41">
        <v>3479</v>
      </c>
      <c r="I41">
        <v>36</v>
      </c>
      <c r="J41">
        <v>111</v>
      </c>
      <c r="K41">
        <v>2.5263157889999999E-2</v>
      </c>
      <c r="L41">
        <v>4.928131417E-2</v>
      </c>
    </row>
    <row r="42" spans="1:12" x14ac:dyDescent="0.3">
      <c r="A42" t="s">
        <v>87</v>
      </c>
      <c r="B42" t="s">
        <v>235</v>
      </c>
      <c r="C42" t="s">
        <v>44</v>
      </c>
      <c r="D42" t="s">
        <v>236</v>
      </c>
      <c r="E42">
        <v>1.9</v>
      </c>
      <c r="F42">
        <v>1</v>
      </c>
      <c r="G42">
        <v>71</v>
      </c>
      <c r="H42">
        <v>120</v>
      </c>
      <c r="I42">
        <v>3</v>
      </c>
      <c r="J42">
        <v>3</v>
      </c>
      <c r="K42">
        <v>4.2253521129999999E-2</v>
      </c>
      <c r="L42">
        <v>8.1081081080000006E-2</v>
      </c>
    </row>
    <row r="43" spans="1:12" x14ac:dyDescent="0.3">
      <c r="A43" t="s">
        <v>87</v>
      </c>
      <c r="B43" t="s">
        <v>239</v>
      </c>
      <c r="C43" t="s">
        <v>240</v>
      </c>
      <c r="D43" t="s">
        <v>240</v>
      </c>
      <c r="E43" t="s">
        <v>241</v>
      </c>
      <c r="F43">
        <v>1</v>
      </c>
      <c r="G43">
        <v>378</v>
      </c>
      <c r="H43">
        <v>764</v>
      </c>
      <c r="I43">
        <v>87</v>
      </c>
      <c r="J43">
        <v>165</v>
      </c>
      <c r="K43">
        <v>0.23015873019999999</v>
      </c>
      <c r="L43">
        <v>0.37419354840000002</v>
      </c>
    </row>
    <row r="44" spans="1:12" x14ac:dyDescent="0.3">
      <c r="A44" t="s">
        <v>87</v>
      </c>
      <c r="B44" t="s">
        <v>253</v>
      </c>
      <c r="C44" t="s">
        <v>254</v>
      </c>
      <c r="D44" t="s">
        <v>255</v>
      </c>
      <c r="E44" t="s">
        <v>256</v>
      </c>
      <c r="F44">
        <v>1</v>
      </c>
      <c r="G44">
        <v>66</v>
      </c>
      <c r="H44">
        <v>132</v>
      </c>
      <c r="I44">
        <v>4</v>
      </c>
      <c r="J44">
        <v>12</v>
      </c>
      <c r="K44">
        <v>6.0606060609999998E-2</v>
      </c>
      <c r="L44">
        <v>0.11428571429999999</v>
      </c>
    </row>
    <row r="45" spans="1:12" x14ac:dyDescent="0.3">
      <c r="A45" t="s">
        <v>87</v>
      </c>
      <c r="B45" t="s">
        <v>275</v>
      </c>
      <c r="C45" t="s">
        <v>14</v>
      </c>
      <c r="D45" t="s">
        <v>118</v>
      </c>
      <c r="E45" t="s">
        <v>276</v>
      </c>
      <c r="F45">
        <v>1</v>
      </c>
      <c r="G45">
        <v>80</v>
      </c>
      <c r="H45">
        <v>156</v>
      </c>
      <c r="I45">
        <v>1</v>
      </c>
      <c r="J45">
        <v>1</v>
      </c>
      <c r="K45">
        <v>1.2500000000000001E-2</v>
      </c>
      <c r="L45">
        <v>2.4691358020000002E-2</v>
      </c>
    </row>
    <row r="46" spans="1:12" x14ac:dyDescent="0.3">
      <c r="A46" t="s">
        <v>12</v>
      </c>
      <c r="B46" t="s">
        <v>37</v>
      </c>
      <c r="C46" t="s">
        <v>38</v>
      </c>
      <c r="D46" t="s">
        <v>38</v>
      </c>
      <c r="E46">
        <v>4.4000000000000004</v>
      </c>
      <c r="F46">
        <v>0</v>
      </c>
      <c r="G46">
        <v>232</v>
      </c>
      <c r="H46">
        <v>477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12</v>
      </c>
      <c r="B47" t="s">
        <v>99</v>
      </c>
      <c r="C47" t="s">
        <v>48</v>
      </c>
      <c r="D47" t="s">
        <v>49</v>
      </c>
      <c r="E47" t="s">
        <v>100</v>
      </c>
      <c r="F47">
        <v>0</v>
      </c>
      <c r="G47">
        <v>8</v>
      </c>
      <c r="H47">
        <v>24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12</v>
      </c>
      <c r="B48" t="s">
        <v>47</v>
      </c>
      <c r="C48" t="s">
        <v>48</v>
      </c>
      <c r="D48" t="s">
        <v>49</v>
      </c>
      <c r="E48" t="s">
        <v>50</v>
      </c>
      <c r="F48">
        <v>0</v>
      </c>
      <c r="G48">
        <v>6</v>
      </c>
      <c r="H48">
        <v>11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12</v>
      </c>
      <c r="B49" t="s">
        <v>74</v>
      </c>
      <c r="C49" t="s">
        <v>75</v>
      </c>
      <c r="D49" t="s">
        <v>75</v>
      </c>
      <c r="E49" t="s">
        <v>76</v>
      </c>
      <c r="F49">
        <v>0</v>
      </c>
      <c r="G49">
        <v>490</v>
      </c>
      <c r="H49">
        <v>699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12</v>
      </c>
      <c r="B50" t="s">
        <v>92</v>
      </c>
      <c r="C50" t="s">
        <v>93</v>
      </c>
      <c r="D50" t="s">
        <v>94</v>
      </c>
      <c r="E50" t="s">
        <v>95</v>
      </c>
      <c r="F50">
        <v>0</v>
      </c>
      <c r="G50">
        <v>160</v>
      </c>
      <c r="H50">
        <v>290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12</v>
      </c>
      <c r="B51" t="s">
        <v>61</v>
      </c>
      <c r="C51" t="s">
        <v>62</v>
      </c>
      <c r="D51" t="s">
        <v>63</v>
      </c>
      <c r="E51" t="s">
        <v>64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42</v>
      </c>
      <c r="L51">
        <v>0</v>
      </c>
    </row>
    <row r="52" spans="1:12" x14ac:dyDescent="0.3">
      <c r="A52" t="s">
        <v>12</v>
      </c>
      <c r="B52" t="s">
        <v>130</v>
      </c>
      <c r="C52" t="s">
        <v>14</v>
      </c>
      <c r="D52" t="s">
        <v>131</v>
      </c>
      <c r="E52" t="s">
        <v>132</v>
      </c>
      <c r="F52">
        <v>0</v>
      </c>
      <c r="G52">
        <v>653</v>
      </c>
      <c r="H52">
        <v>1174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12</v>
      </c>
      <c r="B53" t="s">
        <v>156</v>
      </c>
      <c r="C53" t="s">
        <v>44</v>
      </c>
      <c r="D53" t="s">
        <v>157</v>
      </c>
      <c r="E53">
        <v>2.6</v>
      </c>
      <c r="F53">
        <v>0</v>
      </c>
      <c r="G53">
        <v>33</v>
      </c>
      <c r="H53">
        <v>73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12</v>
      </c>
      <c r="B54" t="s">
        <v>122</v>
      </c>
      <c r="C54" t="s">
        <v>84</v>
      </c>
      <c r="D54" t="s">
        <v>85</v>
      </c>
      <c r="E54" t="s">
        <v>123</v>
      </c>
      <c r="F54">
        <v>0</v>
      </c>
      <c r="G54">
        <v>45</v>
      </c>
      <c r="H54">
        <v>81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12</v>
      </c>
      <c r="B55" t="s">
        <v>188</v>
      </c>
      <c r="C55" t="s">
        <v>189</v>
      </c>
      <c r="D55" t="s">
        <v>190</v>
      </c>
      <c r="E55" t="s">
        <v>191</v>
      </c>
      <c r="F55">
        <v>0</v>
      </c>
      <c r="G55">
        <v>51</v>
      </c>
      <c r="H55">
        <v>89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12</v>
      </c>
      <c r="B56" t="s">
        <v>193</v>
      </c>
      <c r="C56" t="s">
        <v>194</v>
      </c>
      <c r="D56" t="s">
        <v>195</v>
      </c>
      <c r="E56" t="s">
        <v>196</v>
      </c>
      <c r="F56">
        <v>0</v>
      </c>
      <c r="G56">
        <v>12</v>
      </c>
      <c r="H56">
        <v>26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12</v>
      </c>
      <c r="B57" t="s">
        <v>197</v>
      </c>
      <c r="C57" t="s">
        <v>172</v>
      </c>
      <c r="D57" t="s">
        <v>198</v>
      </c>
      <c r="E57" t="s">
        <v>199</v>
      </c>
      <c r="F57">
        <v>0</v>
      </c>
      <c r="G57">
        <v>30</v>
      </c>
      <c r="H57">
        <v>65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12</v>
      </c>
      <c r="B58" t="s">
        <v>184</v>
      </c>
      <c r="C58" t="s">
        <v>185</v>
      </c>
      <c r="D58" t="s">
        <v>186</v>
      </c>
      <c r="E58" t="s">
        <v>187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12</v>
      </c>
      <c r="B59" t="s">
        <v>211</v>
      </c>
      <c r="C59" t="s">
        <v>212</v>
      </c>
      <c r="D59" t="s">
        <v>213</v>
      </c>
      <c r="E59" t="s">
        <v>214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42</v>
      </c>
      <c r="L59">
        <v>0</v>
      </c>
    </row>
    <row r="60" spans="1:12" x14ac:dyDescent="0.3">
      <c r="A60" t="s">
        <v>12</v>
      </c>
      <c r="B60" t="s">
        <v>223</v>
      </c>
      <c r="C60" t="s">
        <v>224</v>
      </c>
      <c r="D60" t="s">
        <v>225</v>
      </c>
      <c r="E60" t="s">
        <v>226</v>
      </c>
      <c r="F60">
        <v>0</v>
      </c>
      <c r="G60">
        <v>105</v>
      </c>
      <c r="H60">
        <v>207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12</v>
      </c>
      <c r="B61" t="s">
        <v>204</v>
      </c>
      <c r="C61" t="s">
        <v>14</v>
      </c>
      <c r="D61" t="s">
        <v>205</v>
      </c>
      <c r="E61" t="s">
        <v>206</v>
      </c>
      <c r="F61">
        <v>0</v>
      </c>
      <c r="G61">
        <v>40</v>
      </c>
      <c r="H61">
        <v>53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12</v>
      </c>
      <c r="B62" t="s">
        <v>221</v>
      </c>
      <c r="C62" t="s">
        <v>14</v>
      </c>
      <c r="D62" t="s">
        <v>205</v>
      </c>
      <c r="E62" t="s">
        <v>222</v>
      </c>
      <c r="F62">
        <v>0</v>
      </c>
      <c r="G62">
        <v>235</v>
      </c>
      <c r="H62">
        <v>448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12</v>
      </c>
      <c r="B63" t="s">
        <v>227</v>
      </c>
      <c r="C63" t="s">
        <v>27</v>
      </c>
      <c r="D63" t="s">
        <v>27</v>
      </c>
      <c r="E63" t="s">
        <v>228</v>
      </c>
      <c r="F63">
        <v>0</v>
      </c>
      <c r="G63">
        <v>838</v>
      </c>
      <c r="H63">
        <v>1222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12</v>
      </c>
      <c r="B64" t="s">
        <v>244</v>
      </c>
      <c r="C64" t="s">
        <v>245</v>
      </c>
      <c r="D64" t="s">
        <v>246</v>
      </c>
      <c r="E64" t="s">
        <v>247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42</v>
      </c>
      <c r="L64">
        <v>0</v>
      </c>
    </row>
    <row r="65" spans="1:12" x14ac:dyDescent="0.3">
      <c r="A65" t="s">
        <v>12</v>
      </c>
      <c r="B65" t="s">
        <v>265</v>
      </c>
      <c r="C65" t="s">
        <v>14</v>
      </c>
      <c r="D65" t="s">
        <v>266</v>
      </c>
      <c r="E65" t="s">
        <v>267</v>
      </c>
      <c r="F65">
        <v>0</v>
      </c>
      <c r="G65">
        <v>11</v>
      </c>
      <c r="H65">
        <v>13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12</v>
      </c>
      <c r="B66" t="s">
        <v>273</v>
      </c>
      <c r="C66" t="s">
        <v>52</v>
      </c>
      <c r="D66" t="s">
        <v>66</v>
      </c>
      <c r="E66" t="s">
        <v>274</v>
      </c>
      <c r="F66">
        <v>0</v>
      </c>
      <c r="G66">
        <v>18</v>
      </c>
      <c r="H66">
        <v>20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12</v>
      </c>
      <c r="B67" t="s">
        <v>285</v>
      </c>
      <c r="C67" t="s">
        <v>14</v>
      </c>
      <c r="D67" t="s">
        <v>286</v>
      </c>
      <c r="E67" t="s">
        <v>287</v>
      </c>
      <c r="F67">
        <v>0</v>
      </c>
      <c r="G67">
        <v>18</v>
      </c>
      <c r="H67">
        <v>29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>
        <v>0</v>
      </c>
      <c r="G68">
        <v>86</v>
      </c>
      <c r="H68">
        <v>217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17</v>
      </c>
      <c r="B69" t="s">
        <v>136</v>
      </c>
      <c r="C69" t="s">
        <v>19</v>
      </c>
      <c r="D69" t="s">
        <v>20</v>
      </c>
      <c r="E69" t="s">
        <v>137</v>
      </c>
      <c r="F69">
        <v>0</v>
      </c>
      <c r="G69">
        <v>123</v>
      </c>
      <c r="H69">
        <v>351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17</v>
      </c>
      <c r="B70" t="s">
        <v>154</v>
      </c>
      <c r="C70" t="s">
        <v>19</v>
      </c>
      <c r="D70" t="s">
        <v>20</v>
      </c>
      <c r="E70" t="s">
        <v>155</v>
      </c>
      <c r="F70">
        <v>0</v>
      </c>
      <c r="G70">
        <v>119</v>
      </c>
      <c r="H70">
        <v>333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17</v>
      </c>
      <c r="B71" t="s">
        <v>22</v>
      </c>
      <c r="C71" t="s">
        <v>14</v>
      </c>
      <c r="D71" t="s">
        <v>23</v>
      </c>
      <c r="E71" t="s">
        <v>24</v>
      </c>
      <c r="F71">
        <v>0</v>
      </c>
      <c r="G71">
        <v>567</v>
      </c>
      <c r="H71">
        <v>1092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17</v>
      </c>
      <c r="B72" t="s">
        <v>51</v>
      </c>
      <c r="C72" t="s">
        <v>52</v>
      </c>
      <c r="D72" t="s">
        <v>53</v>
      </c>
      <c r="E72" t="s">
        <v>54</v>
      </c>
      <c r="F72">
        <v>0</v>
      </c>
      <c r="G72">
        <v>46</v>
      </c>
      <c r="H72">
        <v>102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25</v>
      </c>
      <c r="B73" t="s">
        <v>108</v>
      </c>
      <c r="C73" t="s">
        <v>14</v>
      </c>
      <c r="D73" t="s">
        <v>109</v>
      </c>
      <c r="E73" t="s">
        <v>110</v>
      </c>
      <c r="F73">
        <v>0</v>
      </c>
      <c r="G73">
        <v>553</v>
      </c>
      <c r="H73">
        <v>1336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25</v>
      </c>
      <c r="B74" t="s">
        <v>113</v>
      </c>
      <c r="C74" t="s">
        <v>114</v>
      </c>
      <c r="D74" t="s">
        <v>115</v>
      </c>
      <c r="E74" t="s">
        <v>116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42</v>
      </c>
      <c r="L74">
        <v>0</v>
      </c>
    </row>
    <row r="75" spans="1:12" x14ac:dyDescent="0.3">
      <c r="A75" t="s">
        <v>25</v>
      </c>
      <c r="B75" t="s">
        <v>120</v>
      </c>
      <c r="C75" t="s">
        <v>44</v>
      </c>
      <c r="D75" t="s">
        <v>45</v>
      </c>
      <c r="E75" t="s">
        <v>121</v>
      </c>
      <c r="F75">
        <v>0</v>
      </c>
      <c r="G75">
        <v>16</v>
      </c>
      <c r="H75">
        <v>23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25</v>
      </c>
      <c r="B76" t="s">
        <v>138</v>
      </c>
      <c r="C76" t="s">
        <v>139</v>
      </c>
      <c r="D76" t="s">
        <v>140</v>
      </c>
      <c r="E76" t="s">
        <v>141</v>
      </c>
      <c r="F76">
        <v>0</v>
      </c>
      <c r="G76">
        <v>11</v>
      </c>
      <c r="H76">
        <v>19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25</v>
      </c>
      <c r="B77" t="s">
        <v>126</v>
      </c>
      <c r="C77" t="s">
        <v>127</v>
      </c>
      <c r="D77" t="s">
        <v>128</v>
      </c>
      <c r="E77" t="s">
        <v>129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42</v>
      </c>
      <c r="L77">
        <v>0</v>
      </c>
    </row>
    <row r="78" spans="1:12" x14ac:dyDescent="0.3">
      <c r="A78" t="s">
        <v>25</v>
      </c>
      <c r="B78" t="s">
        <v>171</v>
      </c>
      <c r="C78" t="s">
        <v>172</v>
      </c>
      <c r="D78" t="s">
        <v>173</v>
      </c>
      <c r="E78" t="s">
        <v>174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42</v>
      </c>
      <c r="L78">
        <v>0</v>
      </c>
    </row>
    <row r="79" spans="1:12" x14ac:dyDescent="0.3">
      <c r="A79" t="s">
        <v>25</v>
      </c>
      <c r="B79" t="s">
        <v>207</v>
      </c>
      <c r="C79" t="s">
        <v>34</v>
      </c>
      <c r="D79" t="s">
        <v>35</v>
      </c>
      <c r="E79" t="s">
        <v>208</v>
      </c>
      <c r="F79">
        <v>0</v>
      </c>
      <c r="G79">
        <v>26</v>
      </c>
      <c r="H79">
        <v>60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25</v>
      </c>
      <c r="B80" t="s">
        <v>26</v>
      </c>
      <c r="C80" t="s">
        <v>27</v>
      </c>
      <c r="D80" t="s">
        <v>27</v>
      </c>
      <c r="E80" t="s">
        <v>28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42</v>
      </c>
      <c r="L80">
        <v>0</v>
      </c>
    </row>
    <row r="81" spans="1:12" x14ac:dyDescent="0.3">
      <c r="A81" t="s">
        <v>25</v>
      </c>
      <c r="B81" t="s">
        <v>43</v>
      </c>
      <c r="C81" t="s">
        <v>44</v>
      </c>
      <c r="D81" t="s">
        <v>45</v>
      </c>
      <c r="E81" t="s">
        <v>46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42</v>
      </c>
      <c r="L81">
        <v>0</v>
      </c>
    </row>
    <row r="82" spans="1:12" x14ac:dyDescent="0.3">
      <c r="A82" t="s">
        <v>25</v>
      </c>
      <c r="B82" t="s">
        <v>39</v>
      </c>
      <c r="C82" t="s">
        <v>14</v>
      </c>
      <c r="D82" t="s">
        <v>40</v>
      </c>
      <c r="E82" t="s">
        <v>41</v>
      </c>
      <c r="F82">
        <v>0</v>
      </c>
      <c r="G82">
        <v>4</v>
      </c>
      <c r="H82">
        <v>13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25</v>
      </c>
      <c r="B83" t="s">
        <v>215</v>
      </c>
      <c r="C83" t="s">
        <v>38</v>
      </c>
      <c r="D83" t="s">
        <v>38</v>
      </c>
      <c r="E83">
        <v>5.0999999999999996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42</v>
      </c>
      <c r="L83">
        <v>0</v>
      </c>
    </row>
    <row r="84" spans="1:12" x14ac:dyDescent="0.3">
      <c r="A84" t="s">
        <v>25</v>
      </c>
      <c r="B84" t="s">
        <v>248</v>
      </c>
      <c r="C84" t="s">
        <v>194</v>
      </c>
      <c r="D84" t="s">
        <v>195</v>
      </c>
      <c r="E84">
        <v>14.6</v>
      </c>
      <c r="F84">
        <v>0</v>
      </c>
      <c r="G84">
        <v>57</v>
      </c>
      <c r="H84">
        <v>112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25</v>
      </c>
      <c r="B85" t="s">
        <v>249</v>
      </c>
      <c r="C85" t="s">
        <v>194</v>
      </c>
      <c r="D85" t="s">
        <v>195</v>
      </c>
      <c r="E85" t="s">
        <v>250</v>
      </c>
      <c r="F85">
        <v>0</v>
      </c>
      <c r="G85">
        <v>49</v>
      </c>
      <c r="H85">
        <v>104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25</v>
      </c>
      <c r="B86" t="s">
        <v>271</v>
      </c>
      <c r="C86" t="s">
        <v>194</v>
      </c>
      <c r="D86" t="s">
        <v>195</v>
      </c>
      <c r="E86" t="s">
        <v>272</v>
      </c>
      <c r="F86">
        <v>0</v>
      </c>
      <c r="G86">
        <v>23</v>
      </c>
      <c r="H86">
        <v>48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25</v>
      </c>
      <c r="B87" t="s">
        <v>259</v>
      </c>
      <c r="C87" t="s">
        <v>260</v>
      </c>
      <c r="D87" t="s">
        <v>260</v>
      </c>
      <c r="E87" t="s">
        <v>261</v>
      </c>
      <c r="F87">
        <v>0</v>
      </c>
      <c r="G87">
        <v>7</v>
      </c>
      <c r="H87">
        <v>16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25</v>
      </c>
      <c r="B88" t="s">
        <v>277</v>
      </c>
      <c r="C88" t="s">
        <v>194</v>
      </c>
      <c r="D88" t="s">
        <v>278</v>
      </c>
      <c r="E88" t="s">
        <v>252</v>
      </c>
      <c r="F88">
        <v>0</v>
      </c>
      <c r="G88">
        <v>17</v>
      </c>
      <c r="H88">
        <v>34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87</v>
      </c>
      <c r="B89" t="s">
        <v>88</v>
      </c>
      <c r="C89" t="s">
        <v>89</v>
      </c>
      <c r="D89" t="s">
        <v>90</v>
      </c>
      <c r="E89" t="s">
        <v>91</v>
      </c>
      <c r="F89">
        <v>0</v>
      </c>
      <c r="G89">
        <v>185</v>
      </c>
      <c r="H89">
        <v>355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87</v>
      </c>
      <c r="B90" t="s">
        <v>106</v>
      </c>
      <c r="C90" t="s">
        <v>14</v>
      </c>
      <c r="D90" t="s">
        <v>23</v>
      </c>
      <c r="E90" t="s">
        <v>107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42</v>
      </c>
      <c r="L90">
        <v>0</v>
      </c>
    </row>
    <row r="91" spans="1:12" x14ac:dyDescent="0.3">
      <c r="A91" t="s">
        <v>87</v>
      </c>
      <c r="B91" t="s">
        <v>180</v>
      </c>
      <c r="C91" t="s">
        <v>181</v>
      </c>
      <c r="D91" t="s">
        <v>182</v>
      </c>
      <c r="E91" t="s">
        <v>183</v>
      </c>
      <c r="F91">
        <v>0</v>
      </c>
      <c r="G91">
        <v>1047</v>
      </c>
      <c r="H91">
        <v>2060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87</v>
      </c>
      <c r="B92" t="s">
        <v>161</v>
      </c>
      <c r="C92" t="s">
        <v>14</v>
      </c>
      <c r="D92" t="s">
        <v>162</v>
      </c>
      <c r="E92" t="s">
        <v>163</v>
      </c>
      <c r="F92">
        <v>0</v>
      </c>
      <c r="G92">
        <v>168</v>
      </c>
      <c r="H92">
        <v>320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87</v>
      </c>
      <c r="B93" t="s">
        <v>168</v>
      </c>
      <c r="C93" t="s">
        <v>169</v>
      </c>
      <c r="D93" t="s">
        <v>151</v>
      </c>
      <c r="E93" t="s">
        <v>170</v>
      </c>
      <c r="F93">
        <v>0</v>
      </c>
      <c r="G93">
        <v>405</v>
      </c>
      <c r="H93">
        <v>701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87</v>
      </c>
      <c r="B94" t="s">
        <v>262</v>
      </c>
      <c r="C94" t="s">
        <v>44</v>
      </c>
      <c r="D94" t="s">
        <v>263</v>
      </c>
      <c r="E94" t="s">
        <v>264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42</v>
      </c>
      <c r="L94">
        <v>0</v>
      </c>
    </row>
    <row r="95" spans="1:12" x14ac:dyDescent="0.3">
      <c r="A95" t="s">
        <v>87</v>
      </c>
      <c r="B95" t="s">
        <v>257</v>
      </c>
      <c r="C95" t="s">
        <v>14</v>
      </c>
      <c r="D95" t="s">
        <v>118</v>
      </c>
      <c r="E95" t="s">
        <v>258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42</v>
      </c>
      <c r="L95">
        <v>0</v>
      </c>
    </row>
    <row r="96" spans="1:12" x14ac:dyDescent="0.3">
      <c r="A96" t="s">
        <v>87</v>
      </c>
      <c r="B96" t="s">
        <v>283</v>
      </c>
      <c r="C96" t="s">
        <v>14</v>
      </c>
      <c r="D96" t="s">
        <v>205</v>
      </c>
      <c r="E96" t="s">
        <v>284</v>
      </c>
      <c r="F96">
        <v>0</v>
      </c>
      <c r="G96">
        <v>980</v>
      </c>
      <c r="H96">
        <v>2071</v>
      </c>
      <c r="I96">
        <v>0</v>
      </c>
      <c r="J96">
        <v>0</v>
      </c>
      <c r="K96">
        <v>0</v>
      </c>
      <c r="L96">
        <v>0</v>
      </c>
    </row>
  </sheetData>
  <sortState xmlns:xlrd2="http://schemas.microsoft.com/office/spreadsheetml/2017/richdata2" ref="A2:L96">
    <sortCondition descending="1" ref="F1:F96"/>
  </sortState>
  <phoneticPr fontId="19" type="noConversion"/>
  <conditionalFormatting sqref="B1:B1048576">
    <cfRule type="duplicateValues" dxfId="4" priority="8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9789-8318-40DB-ABE2-550D278BC466}">
  <dimension ref="A1:L96"/>
  <sheetViews>
    <sheetView workbookViewId="0">
      <selection activeCell="F2" sqref="F2:F49"/>
    </sheetView>
  </sheetViews>
  <sheetFormatPr defaultRowHeight="14" x14ac:dyDescent="0.3"/>
  <cols>
    <col min="2" max="2" width="58.1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99</v>
      </c>
      <c r="C2" t="s">
        <v>48</v>
      </c>
      <c r="D2" t="s">
        <v>49</v>
      </c>
      <c r="E2" t="s">
        <v>100</v>
      </c>
      <c r="F2">
        <v>1</v>
      </c>
      <c r="G2">
        <v>14</v>
      </c>
      <c r="H2">
        <v>43</v>
      </c>
      <c r="I2">
        <v>6</v>
      </c>
      <c r="J2">
        <v>24</v>
      </c>
      <c r="K2">
        <v>0.42857142860000003</v>
      </c>
      <c r="L2">
        <v>0.6</v>
      </c>
    </row>
    <row r="3" spans="1:12" x14ac:dyDescent="0.3">
      <c r="A3" t="s">
        <v>12</v>
      </c>
      <c r="B3" t="s">
        <v>47</v>
      </c>
      <c r="C3" t="s">
        <v>48</v>
      </c>
      <c r="D3" t="s">
        <v>49</v>
      </c>
      <c r="E3" t="s">
        <v>50</v>
      </c>
      <c r="F3">
        <v>1</v>
      </c>
      <c r="G3">
        <v>12</v>
      </c>
      <c r="H3">
        <v>41</v>
      </c>
      <c r="I3">
        <v>7</v>
      </c>
      <c r="J3">
        <v>28</v>
      </c>
      <c r="K3">
        <v>0.58333333330000003</v>
      </c>
      <c r="L3">
        <v>0.73684210530000005</v>
      </c>
    </row>
    <row r="4" spans="1:12" x14ac:dyDescent="0.3">
      <c r="A4" t="s">
        <v>12</v>
      </c>
      <c r="B4" t="s">
        <v>96</v>
      </c>
      <c r="C4" t="s">
        <v>14</v>
      </c>
      <c r="D4" t="s">
        <v>97</v>
      </c>
      <c r="E4" t="s">
        <v>98</v>
      </c>
      <c r="F4">
        <v>1</v>
      </c>
      <c r="G4">
        <v>11</v>
      </c>
      <c r="H4">
        <v>22</v>
      </c>
      <c r="I4">
        <v>7</v>
      </c>
      <c r="J4">
        <v>12</v>
      </c>
      <c r="K4">
        <v>0.63636363640000004</v>
      </c>
      <c r="L4">
        <v>0.77777777780000001</v>
      </c>
    </row>
    <row r="5" spans="1:12" x14ac:dyDescent="0.3">
      <c r="A5" t="s">
        <v>12</v>
      </c>
      <c r="B5" t="s">
        <v>92</v>
      </c>
      <c r="C5" t="s">
        <v>93</v>
      </c>
      <c r="D5" t="s">
        <v>94</v>
      </c>
      <c r="E5" t="s">
        <v>95</v>
      </c>
      <c r="F5">
        <v>1</v>
      </c>
      <c r="G5">
        <v>57</v>
      </c>
      <c r="H5">
        <v>188</v>
      </c>
      <c r="I5">
        <v>1</v>
      </c>
      <c r="J5">
        <v>3</v>
      </c>
      <c r="K5">
        <v>1.754385965E-2</v>
      </c>
      <c r="L5">
        <v>3.4482758619999998E-2</v>
      </c>
    </row>
    <row r="6" spans="1:12" x14ac:dyDescent="0.3">
      <c r="A6" t="s">
        <v>12</v>
      </c>
      <c r="B6" t="s">
        <v>77</v>
      </c>
      <c r="C6" t="s">
        <v>14</v>
      </c>
      <c r="D6" t="s">
        <v>78</v>
      </c>
      <c r="E6">
        <v>1.18</v>
      </c>
      <c r="F6">
        <v>1</v>
      </c>
      <c r="G6">
        <v>42</v>
      </c>
      <c r="H6">
        <v>82</v>
      </c>
      <c r="I6">
        <v>6</v>
      </c>
      <c r="J6">
        <v>8</v>
      </c>
      <c r="K6">
        <v>0.14285714290000001</v>
      </c>
      <c r="L6">
        <v>0.25</v>
      </c>
    </row>
    <row r="7" spans="1:12" x14ac:dyDescent="0.3">
      <c r="A7" t="s">
        <v>12</v>
      </c>
      <c r="B7" t="s">
        <v>61</v>
      </c>
      <c r="C7" t="s">
        <v>62</v>
      </c>
      <c r="D7" t="s">
        <v>63</v>
      </c>
      <c r="E7" t="s">
        <v>64</v>
      </c>
      <c r="F7">
        <v>1</v>
      </c>
      <c r="G7">
        <v>2</v>
      </c>
      <c r="H7">
        <v>2</v>
      </c>
      <c r="I7">
        <v>1</v>
      </c>
      <c r="J7">
        <v>1</v>
      </c>
      <c r="K7">
        <v>0.5</v>
      </c>
      <c r="L7">
        <v>0.66666666669999997</v>
      </c>
    </row>
    <row r="8" spans="1:12" x14ac:dyDescent="0.3">
      <c r="A8" t="s">
        <v>12</v>
      </c>
      <c r="B8" t="s">
        <v>101</v>
      </c>
      <c r="C8" t="s">
        <v>14</v>
      </c>
      <c r="D8" t="s">
        <v>97</v>
      </c>
      <c r="E8" t="s">
        <v>102</v>
      </c>
      <c r="F8">
        <v>1</v>
      </c>
      <c r="G8">
        <v>236</v>
      </c>
      <c r="H8">
        <v>727</v>
      </c>
      <c r="I8">
        <v>8</v>
      </c>
      <c r="J8">
        <v>23</v>
      </c>
      <c r="K8">
        <v>3.3898305080000003E-2</v>
      </c>
      <c r="L8">
        <v>6.5573770490000002E-2</v>
      </c>
    </row>
    <row r="9" spans="1:12" x14ac:dyDescent="0.3">
      <c r="A9" t="s">
        <v>12</v>
      </c>
      <c r="B9" t="s">
        <v>142</v>
      </c>
      <c r="C9" t="s">
        <v>143</v>
      </c>
      <c r="D9" t="s">
        <v>144</v>
      </c>
      <c r="E9" t="s">
        <v>145</v>
      </c>
      <c r="F9">
        <v>1</v>
      </c>
      <c r="G9">
        <v>61</v>
      </c>
      <c r="H9">
        <v>88</v>
      </c>
      <c r="I9">
        <v>1</v>
      </c>
      <c r="J9">
        <v>1</v>
      </c>
      <c r="K9">
        <v>1.639344262E-2</v>
      </c>
      <c r="L9">
        <v>3.2258064519999997E-2</v>
      </c>
    </row>
    <row r="10" spans="1:12" x14ac:dyDescent="0.3">
      <c r="A10" t="s">
        <v>12</v>
      </c>
      <c r="B10" t="s">
        <v>150</v>
      </c>
      <c r="C10" t="s">
        <v>151</v>
      </c>
      <c r="D10" t="s">
        <v>152</v>
      </c>
      <c r="E10" t="s">
        <v>153</v>
      </c>
      <c r="F10">
        <v>1</v>
      </c>
      <c r="G10">
        <v>12</v>
      </c>
      <c r="H10">
        <v>25</v>
      </c>
      <c r="I10">
        <v>1</v>
      </c>
      <c r="J10">
        <v>1</v>
      </c>
      <c r="K10">
        <v>8.3333333329999995E-2</v>
      </c>
      <c r="L10">
        <v>0.1538461538</v>
      </c>
    </row>
    <row r="11" spans="1:12" x14ac:dyDescent="0.3">
      <c r="A11" t="s">
        <v>12</v>
      </c>
      <c r="B11" t="s">
        <v>177</v>
      </c>
      <c r="C11" t="s">
        <v>44</v>
      </c>
      <c r="D11" t="s">
        <v>178</v>
      </c>
      <c r="E11" t="s">
        <v>179</v>
      </c>
      <c r="F11">
        <v>1</v>
      </c>
      <c r="G11">
        <v>26</v>
      </c>
      <c r="H11">
        <v>83</v>
      </c>
      <c r="I11">
        <v>2</v>
      </c>
      <c r="J11">
        <v>8</v>
      </c>
      <c r="K11">
        <v>7.692307692E-2</v>
      </c>
      <c r="L11">
        <v>0.14285714290000001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>
        <v>1</v>
      </c>
      <c r="G12">
        <v>110</v>
      </c>
      <c r="H12">
        <v>216</v>
      </c>
      <c r="I12">
        <v>6</v>
      </c>
      <c r="J12">
        <v>14</v>
      </c>
      <c r="K12">
        <v>5.4545454549999997E-2</v>
      </c>
      <c r="L12">
        <v>0.1034482759</v>
      </c>
    </row>
    <row r="13" spans="1:12" x14ac:dyDescent="0.3">
      <c r="A13" t="s">
        <v>12</v>
      </c>
      <c r="B13" t="s">
        <v>79</v>
      </c>
      <c r="C13" t="s">
        <v>80</v>
      </c>
      <c r="D13" t="s">
        <v>81</v>
      </c>
      <c r="E13" t="s">
        <v>82</v>
      </c>
      <c r="F13">
        <v>1</v>
      </c>
      <c r="G13">
        <v>71</v>
      </c>
      <c r="H13">
        <v>165</v>
      </c>
      <c r="I13">
        <v>7</v>
      </c>
      <c r="J13">
        <v>8</v>
      </c>
      <c r="K13">
        <v>9.8591549299999998E-2</v>
      </c>
      <c r="L13">
        <v>0.17948717950000001</v>
      </c>
    </row>
    <row r="14" spans="1:12" x14ac:dyDescent="0.3">
      <c r="A14" t="s">
        <v>12</v>
      </c>
      <c r="B14" t="s">
        <v>65</v>
      </c>
      <c r="C14" t="s">
        <v>52</v>
      </c>
      <c r="D14" t="s">
        <v>66</v>
      </c>
      <c r="E14">
        <v>3.5</v>
      </c>
      <c r="F14">
        <v>1</v>
      </c>
      <c r="G14">
        <v>19</v>
      </c>
      <c r="H14">
        <v>54</v>
      </c>
      <c r="I14">
        <v>4</v>
      </c>
      <c r="J14">
        <v>14</v>
      </c>
      <c r="K14">
        <v>0.2105263158</v>
      </c>
      <c r="L14">
        <v>0.34782608700000001</v>
      </c>
    </row>
    <row r="15" spans="1:12" x14ac:dyDescent="0.3">
      <c r="A15" t="s">
        <v>12</v>
      </c>
      <c r="B15" t="s">
        <v>67</v>
      </c>
      <c r="C15" t="s">
        <v>68</v>
      </c>
      <c r="D15" t="s">
        <v>69</v>
      </c>
      <c r="E15">
        <v>1.1200000000000001</v>
      </c>
      <c r="F15">
        <v>1</v>
      </c>
      <c r="G15">
        <v>36</v>
      </c>
      <c r="H15">
        <v>87</v>
      </c>
      <c r="I15">
        <v>1</v>
      </c>
      <c r="J15">
        <v>4</v>
      </c>
      <c r="K15">
        <v>2.7777777779999999E-2</v>
      </c>
      <c r="L15">
        <v>5.4054054050000001E-2</v>
      </c>
    </row>
    <row r="16" spans="1:12" x14ac:dyDescent="0.3">
      <c r="A16" t="s">
        <v>12</v>
      </c>
      <c r="B16" t="s">
        <v>217</v>
      </c>
      <c r="C16" t="s">
        <v>38</v>
      </c>
      <c r="D16" t="s">
        <v>38</v>
      </c>
      <c r="E16">
        <v>5.0999999999999996</v>
      </c>
      <c r="F16">
        <v>1</v>
      </c>
      <c r="G16">
        <v>349</v>
      </c>
      <c r="H16">
        <v>794</v>
      </c>
      <c r="I16">
        <v>6</v>
      </c>
      <c r="J16">
        <v>11</v>
      </c>
      <c r="K16">
        <v>1.719197708E-2</v>
      </c>
      <c r="L16">
        <v>3.3802816899999998E-2</v>
      </c>
    </row>
    <row r="17" spans="1:12" x14ac:dyDescent="0.3">
      <c r="A17" t="s">
        <v>12</v>
      </c>
      <c r="B17" t="s">
        <v>216</v>
      </c>
      <c r="C17" t="s">
        <v>38</v>
      </c>
      <c r="D17" t="s">
        <v>38</v>
      </c>
      <c r="E17">
        <v>5.0999999999999996</v>
      </c>
      <c r="F17">
        <v>1</v>
      </c>
      <c r="G17">
        <v>200</v>
      </c>
      <c r="H17">
        <v>463</v>
      </c>
      <c r="I17">
        <v>3</v>
      </c>
      <c r="J17">
        <v>3</v>
      </c>
      <c r="K17">
        <v>1.4999999999999999E-2</v>
      </c>
      <c r="L17">
        <v>2.955665025E-2</v>
      </c>
    </row>
    <row r="18" spans="1:12" x14ac:dyDescent="0.3">
      <c r="A18" t="s">
        <v>12</v>
      </c>
      <c r="B18" t="s">
        <v>200</v>
      </c>
      <c r="C18" t="s">
        <v>201</v>
      </c>
      <c r="D18" t="s">
        <v>202</v>
      </c>
      <c r="E18" t="s">
        <v>203</v>
      </c>
      <c r="F18">
        <v>1</v>
      </c>
      <c r="G18">
        <v>88</v>
      </c>
      <c r="H18">
        <v>224</v>
      </c>
      <c r="I18">
        <v>2</v>
      </c>
      <c r="J18">
        <v>5</v>
      </c>
      <c r="K18">
        <v>2.2727272730000001E-2</v>
      </c>
      <c r="L18">
        <v>4.4444444440000001E-2</v>
      </c>
    </row>
    <row r="19" spans="1:12" x14ac:dyDescent="0.3">
      <c r="A19" t="s">
        <v>12</v>
      </c>
      <c r="B19" t="s">
        <v>229</v>
      </c>
      <c r="C19" t="s">
        <v>230</v>
      </c>
      <c r="D19" t="s">
        <v>231</v>
      </c>
      <c r="E19">
        <v>7.5</v>
      </c>
      <c r="F19">
        <v>1</v>
      </c>
      <c r="G19">
        <v>15</v>
      </c>
      <c r="H19">
        <v>42</v>
      </c>
      <c r="I19">
        <v>5</v>
      </c>
      <c r="J19">
        <v>8</v>
      </c>
      <c r="K19">
        <v>0.33333333329999998</v>
      </c>
      <c r="L19">
        <v>0.5</v>
      </c>
    </row>
    <row r="20" spans="1:12" x14ac:dyDescent="0.3">
      <c r="A20" t="s">
        <v>12</v>
      </c>
      <c r="B20" t="s">
        <v>218</v>
      </c>
      <c r="C20" t="s">
        <v>14</v>
      </c>
      <c r="D20" t="s">
        <v>219</v>
      </c>
      <c r="E20" t="s">
        <v>220</v>
      </c>
      <c r="F20">
        <v>1</v>
      </c>
      <c r="G20">
        <v>127</v>
      </c>
      <c r="H20">
        <v>309</v>
      </c>
      <c r="I20">
        <v>20</v>
      </c>
      <c r="J20">
        <v>48</v>
      </c>
      <c r="K20">
        <v>0.15748031500000001</v>
      </c>
      <c r="L20">
        <v>0.27210884349999998</v>
      </c>
    </row>
    <row r="21" spans="1:12" x14ac:dyDescent="0.3">
      <c r="A21" t="s">
        <v>12</v>
      </c>
      <c r="B21" t="s">
        <v>227</v>
      </c>
      <c r="C21" t="s">
        <v>27</v>
      </c>
      <c r="D21" t="s">
        <v>27</v>
      </c>
      <c r="E21" t="s">
        <v>228</v>
      </c>
      <c r="F21">
        <v>1</v>
      </c>
      <c r="G21">
        <v>118</v>
      </c>
      <c r="H21">
        <v>260</v>
      </c>
      <c r="I21">
        <v>2</v>
      </c>
      <c r="J21">
        <v>2</v>
      </c>
      <c r="K21">
        <v>1.6949152540000002E-2</v>
      </c>
      <c r="L21">
        <v>3.3333333329999999E-2</v>
      </c>
    </row>
    <row r="22" spans="1:12" x14ac:dyDescent="0.3">
      <c r="A22" t="s">
        <v>12</v>
      </c>
      <c r="B22" t="s">
        <v>279</v>
      </c>
      <c r="C22" t="s">
        <v>280</v>
      </c>
      <c r="D22" t="s">
        <v>281</v>
      </c>
      <c r="E22" t="s">
        <v>282</v>
      </c>
      <c r="F22">
        <v>1</v>
      </c>
      <c r="G22">
        <v>92</v>
      </c>
      <c r="H22">
        <v>186</v>
      </c>
      <c r="I22">
        <v>1</v>
      </c>
      <c r="J22">
        <v>1</v>
      </c>
      <c r="K22">
        <v>1.086956522E-2</v>
      </c>
      <c r="L22">
        <v>2.150537634E-2</v>
      </c>
    </row>
    <row r="23" spans="1:12" x14ac:dyDescent="0.3">
      <c r="A23" t="s">
        <v>12</v>
      </c>
      <c r="B23" t="s">
        <v>268</v>
      </c>
      <c r="C23" t="s">
        <v>14</v>
      </c>
      <c r="D23" t="s">
        <v>269</v>
      </c>
      <c r="E23" t="s">
        <v>270</v>
      </c>
      <c r="F23">
        <v>1</v>
      </c>
      <c r="G23">
        <v>62</v>
      </c>
      <c r="H23">
        <v>175</v>
      </c>
      <c r="I23">
        <v>14</v>
      </c>
      <c r="J23">
        <v>40</v>
      </c>
      <c r="K23">
        <v>0.22580645160000001</v>
      </c>
      <c r="L23">
        <v>0.36842105260000002</v>
      </c>
    </row>
    <row r="24" spans="1:12" x14ac:dyDescent="0.3">
      <c r="A24" t="s">
        <v>12</v>
      </c>
      <c r="B24" t="s">
        <v>273</v>
      </c>
      <c r="C24" t="s">
        <v>52</v>
      </c>
      <c r="D24" t="s">
        <v>66</v>
      </c>
      <c r="E24" t="s">
        <v>274</v>
      </c>
      <c r="F24">
        <v>1</v>
      </c>
      <c r="G24">
        <v>18</v>
      </c>
      <c r="H24">
        <v>44</v>
      </c>
      <c r="I24">
        <v>1</v>
      </c>
      <c r="J24">
        <v>2</v>
      </c>
      <c r="K24">
        <v>5.5555555559999997E-2</v>
      </c>
      <c r="L24">
        <v>0.1052631579</v>
      </c>
    </row>
    <row r="25" spans="1:12" x14ac:dyDescent="0.3">
      <c r="A25" t="s">
        <v>12</v>
      </c>
      <c r="B25" t="s">
        <v>233</v>
      </c>
      <c r="C25" t="s">
        <v>52</v>
      </c>
      <c r="D25" t="s">
        <v>53</v>
      </c>
      <c r="E25" t="s">
        <v>234</v>
      </c>
      <c r="F25">
        <v>1</v>
      </c>
      <c r="G25">
        <v>12</v>
      </c>
      <c r="H25">
        <v>29</v>
      </c>
      <c r="I25">
        <v>1</v>
      </c>
      <c r="J25">
        <v>4</v>
      </c>
      <c r="K25">
        <v>8.3333333329999995E-2</v>
      </c>
      <c r="L25">
        <v>0.1538461538</v>
      </c>
    </row>
    <row r="26" spans="1:12" x14ac:dyDescent="0.3">
      <c r="A26" t="s">
        <v>12</v>
      </c>
      <c r="B26" t="s">
        <v>285</v>
      </c>
      <c r="C26" t="s">
        <v>14</v>
      </c>
      <c r="D26" t="s">
        <v>286</v>
      </c>
      <c r="E26" t="s">
        <v>287</v>
      </c>
      <c r="F26">
        <v>1</v>
      </c>
      <c r="G26">
        <v>17</v>
      </c>
      <c r="H26">
        <v>55</v>
      </c>
      <c r="I26">
        <v>5</v>
      </c>
      <c r="J26">
        <v>7</v>
      </c>
      <c r="K26">
        <v>0.29411764709999999</v>
      </c>
      <c r="L26">
        <v>0.4545454545</v>
      </c>
    </row>
    <row r="27" spans="1:12" x14ac:dyDescent="0.3">
      <c r="A27" t="s">
        <v>17</v>
      </c>
      <c r="B27" t="s">
        <v>51</v>
      </c>
      <c r="C27" t="s">
        <v>52</v>
      </c>
      <c r="D27" t="s">
        <v>53</v>
      </c>
      <c r="E27" t="s">
        <v>54</v>
      </c>
      <c r="F27">
        <v>1</v>
      </c>
      <c r="G27">
        <v>7</v>
      </c>
      <c r="H27">
        <v>19</v>
      </c>
      <c r="I27">
        <v>4</v>
      </c>
      <c r="J27">
        <v>12</v>
      </c>
      <c r="K27">
        <v>0.57142857140000003</v>
      </c>
      <c r="L27">
        <v>0.72727272730000003</v>
      </c>
    </row>
    <row r="28" spans="1:12" x14ac:dyDescent="0.3">
      <c r="A28" t="s">
        <v>25</v>
      </c>
      <c r="B28" t="s">
        <v>33</v>
      </c>
      <c r="C28" t="s">
        <v>34</v>
      </c>
      <c r="D28" t="s">
        <v>35</v>
      </c>
      <c r="E28" t="s">
        <v>36</v>
      </c>
      <c r="F28">
        <v>1</v>
      </c>
      <c r="G28">
        <v>23</v>
      </c>
      <c r="H28">
        <v>44</v>
      </c>
      <c r="I28">
        <v>8</v>
      </c>
      <c r="J28">
        <v>10</v>
      </c>
      <c r="K28">
        <v>0.34782608700000001</v>
      </c>
      <c r="L28">
        <v>0.51612903229999996</v>
      </c>
    </row>
    <row r="29" spans="1:12" x14ac:dyDescent="0.3">
      <c r="A29" t="s">
        <v>25</v>
      </c>
      <c r="B29" t="s">
        <v>55</v>
      </c>
      <c r="C29" t="s">
        <v>34</v>
      </c>
      <c r="D29" t="s">
        <v>35</v>
      </c>
      <c r="E29" t="s">
        <v>56</v>
      </c>
      <c r="F29">
        <v>1</v>
      </c>
      <c r="G29">
        <v>25</v>
      </c>
      <c r="H29">
        <v>49</v>
      </c>
      <c r="I29">
        <v>3</v>
      </c>
      <c r="J29">
        <v>12</v>
      </c>
      <c r="K29">
        <v>0.12</v>
      </c>
      <c r="L29">
        <v>0.21428571430000001</v>
      </c>
    </row>
    <row r="30" spans="1:12" x14ac:dyDescent="0.3">
      <c r="A30" t="s">
        <v>25</v>
      </c>
      <c r="B30" t="s">
        <v>111</v>
      </c>
      <c r="C30" t="s">
        <v>14</v>
      </c>
      <c r="D30" t="s">
        <v>109</v>
      </c>
      <c r="E30" t="s">
        <v>110</v>
      </c>
      <c r="F30">
        <v>1</v>
      </c>
      <c r="G30">
        <v>110</v>
      </c>
      <c r="H30">
        <v>243</v>
      </c>
      <c r="I30">
        <v>4</v>
      </c>
      <c r="J30">
        <v>7</v>
      </c>
      <c r="K30">
        <v>3.636363636E-2</v>
      </c>
      <c r="L30">
        <v>7.0175438600000001E-2</v>
      </c>
    </row>
    <row r="31" spans="1:12" x14ac:dyDescent="0.3">
      <c r="A31" t="s">
        <v>25</v>
      </c>
      <c r="B31" t="s">
        <v>112</v>
      </c>
      <c r="C31" t="s">
        <v>14</v>
      </c>
      <c r="D31" t="s">
        <v>109</v>
      </c>
      <c r="E31" t="s">
        <v>110</v>
      </c>
      <c r="F31">
        <v>1</v>
      </c>
      <c r="G31">
        <v>110</v>
      </c>
      <c r="H31">
        <v>244</v>
      </c>
      <c r="I31">
        <v>1</v>
      </c>
      <c r="J31">
        <v>3</v>
      </c>
      <c r="K31">
        <v>9.0909090910000004E-3</v>
      </c>
      <c r="L31">
        <v>1.8018018019999998E-2</v>
      </c>
    </row>
    <row r="32" spans="1:12" x14ac:dyDescent="0.3">
      <c r="A32" t="s">
        <v>25</v>
      </c>
      <c r="B32" t="s">
        <v>120</v>
      </c>
      <c r="C32" t="s">
        <v>44</v>
      </c>
      <c r="D32" t="s">
        <v>45</v>
      </c>
      <c r="E32" t="s">
        <v>121</v>
      </c>
      <c r="F32">
        <v>1</v>
      </c>
      <c r="G32">
        <v>15</v>
      </c>
      <c r="H32">
        <v>37</v>
      </c>
      <c r="I32">
        <v>1</v>
      </c>
      <c r="J32">
        <v>2</v>
      </c>
      <c r="K32">
        <v>6.6666666669999999E-2</v>
      </c>
      <c r="L32">
        <v>0.125</v>
      </c>
    </row>
    <row r="33" spans="1:12" x14ac:dyDescent="0.3">
      <c r="A33" t="s">
        <v>25</v>
      </c>
      <c r="B33" t="s">
        <v>207</v>
      </c>
      <c r="C33" t="s">
        <v>34</v>
      </c>
      <c r="D33" t="s">
        <v>35</v>
      </c>
      <c r="E33" t="s">
        <v>208</v>
      </c>
      <c r="F33">
        <v>1</v>
      </c>
      <c r="G33">
        <v>17</v>
      </c>
      <c r="H33">
        <v>38</v>
      </c>
      <c r="I33">
        <v>1</v>
      </c>
      <c r="J33">
        <v>2</v>
      </c>
      <c r="K33">
        <v>5.8823529409999999E-2</v>
      </c>
      <c r="L33">
        <v>0.11111111110000001</v>
      </c>
    </row>
    <row r="34" spans="1:12" x14ac:dyDescent="0.3">
      <c r="A34" t="s">
        <v>25</v>
      </c>
      <c r="B34" t="s">
        <v>192</v>
      </c>
      <c r="C34" t="s">
        <v>189</v>
      </c>
      <c r="D34" t="s">
        <v>190</v>
      </c>
      <c r="E34" t="s">
        <v>191</v>
      </c>
      <c r="F34">
        <v>1</v>
      </c>
      <c r="G34">
        <v>22</v>
      </c>
      <c r="H34">
        <v>64</v>
      </c>
      <c r="I34">
        <v>10</v>
      </c>
      <c r="J34">
        <v>31</v>
      </c>
      <c r="K34">
        <v>0.4545454545</v>
      </c>
      <c r="L34">
        <v>0.625</v>
      </c>
    </row>
    <row r="35" spans="1:12" x14ac:dyDescent="0.3">
      <c r="A35" t="s">
        <v>25</v>
      </c>
      <c r="B35" t="s">
        <v>209</v>
      </c>
      <c r="C35" t="s">
        <v>34</v>
      </c>
      <c r="D35" t="s">
        <v>35</v>
      </c>
      <c r="E35" t="s">
        <v>210</v>
      </c>
      <c r="F35">
        <v>1</v>
      </c>
      <c r="G35">
        <v>17</v>
      </c>
      <c r="H35">
        <v>36</v>
      </c>
      <c r="I35">
        <v>1</v>
      </c>
      <c r="J35">
        <v>2</v>
      </c>
      <c r="K35">
        <v>5.8823529409999999E-2</v>
      </c>
      <c r="L35">
        <v>0.11111111110000001</v>
      </c>
    </row>
    <row r="36" spans="1:12" x14ac:dyDescent="0.3">
      <c r="A36" t="s">
        <v>25</v>
      </c>
      <c r="B36" t="s">
        <v>57</v>
      </c>
      <c r="C36" t="s">
        <v>58</v>
      </c>
      <c r="D36" t="s">
        <v>59</v>
      </c>
      <c r="E36" t="s">
        <v>60</v>
      </c>
      <c r="F36">
        <v>1</v>
      </c>
      <c r="G36">
        <v>27</v>
      </c>
      <c r="H36">
        <v>87</v>
      </c>
      <c r="I36">
        <v>3</v>
      </c>
      <c r="J36">
        <v>5</v>
      </c>
      <c r="K36">
        <v>0.11111111110000001</v>
      </c>
      <c r="L36">
        <v>0.2</v>
      </c>
    </row>
    <row r="37" spans="1:12" x14ac:dyDescent="0.3">
      <c r="A37" t="s">
        <v>25</v>
      </c>
      <c r="B37" t="s">
        <v>43</v>
      </c>
      <c r="C37" t="s">
        <v>44</v>
      </c>
      <c r="D37" t="s">
        <v>45</v>
      </c>
      <c r="E37" t="s">
        <v>46</v>
      </c>
      <c r="F37">
        <v>1</v>
      </c>
      <c r="G37">
        <v>17</v>
      </c>
      <c r="H37">
        <v>48</v>
      </c>
      <c r="I37">
        <v>2</v>
      </c>
      <c r="J37">
        <v>3</v>
      </c>
      <c r="K37">
        <v>0.1176470588</v>
      </c>
      <c r="L37">
        <v>0.2105263158</v>
      </c>
    </row>
    <row r="38" spans="1:12" x14ac:dyDescent="0.3">
      <c r="A38" t="s">
        <v>25</v>
      </c>
      <c r="B38" t="s">
        <v>215</v>
      </c>
      <c r="C38" t="s">
        <v>38</v>
      </c>
      <c r="D38" t="s">
        <v>38</v>
      </c>
      <c r="E38">
        <v>5.0999999999999996</v>
      </c>
      <c r="F38">
        <v>1</v>
      </c>
      <c r="G38">
        <v>243</v>
      </c>
      <c r="H38">
        <v>438</v>
      </c>
      <c r="I38">
        <v>3</v>
      </c>
      <c r="J38">
        <v>4</v>
      </c>
      <c r="K38">
        <v>1.2345679010000001E-2</v>
      </c>
      <c r="L38">
        <v>2.4390243900000001E-2</v>
      </c>
    </row>
    <row r="39" spans="1:12" x14ac:dyDescent="0.3">
      <c r="A39" t="s">
        <v>25</v>
      </c>
      <c r="B39" t="s">
        <v>232</v>
      </c>
      <c r="C39" t="s">
        <v>27</v>
      </c>
      <c r="D39" t="s">
        <v>27</v>
      </c>
      <c r="E39" t="s">
        <v>176</v>
      </c>
      <c r="F39">
        <v>1</v>
      </c>
      <c r="G39">
        <v>93</v>
      </c>
      <c r="H39">
        <v>196</v>
      </c>
      <c r="I39">
        <v>2</v>
      </c>
      <c r="J39">
        <v>3</v>
      </c>
      <c r="K39">
        <v>2.150537634E-2</v>
      </c>
      <c r="L39">
        <v>4.2105263160000003E-2</v>
      </c>
    </row>
    <row r="40" spans="1:12" x14ac:dyDescent="0.3">
      <c r="A40" t="s">
        <v>25</v>
      </c>
      <c r="B40" t="s">
        <v>242</v>
      </c>
      <c r="C40" t="s">
        <v>14</v>
      </c>
      <c r="D40" t="s">
        <v>109</v>
      </c>
      <c r="E40" t="s">
        <v>243</v>
      </c>
      <c r="F40">
        <v>1</v>
      </c>
      <c r="G40">
        <v>92</v>
      </c>
      <c r="H40">
        <v>184</v>
      </c>
      <c r="I40">
        <v>3</v>
      </c>
      <c r="J40">
        <v>5</v>
      </c>
      <c r="K40">
        <v>3.2608695649999998E-2</v>
      </c>
      <c r="L40">
        <v>6.3157894739999998E-2</v>
      </c>
    </row>
    <row r="41" spans="1:12" x14ac:dyDescent="0.3">
      <c r="A41" t="s">
        <v>25</v>
      </c>
      <c r="B41" t="s">
        <v>237</v>
      </c>
      <c r="C41" t="s">
        <v>27</v>
      </c>
      <c r="D41" t="s">
        <v>27</v>
      </c>
      <c r="E41" t="s">
        <v>238</v>
      </c>
      <c r="F41">
        <v>1</v>
      </c>
      <c r="G41">
        <v>113</v>
      </c>
      <c r="H41">
        <v>227</v>
      </c>
      <c r="I41">
        <v>3</v>
      </c>
      <c r="J41">
        <v>3</v>
      </c>
      <c r="K41">
        <v>2.6548672570000001E-2</v>
      </c>
      <c r="L41">
        <v>5.1724137929999997E-2</v>
      </c>
    </row>
    <row r="42" spans="1:12" x14ac:dyDescent="0.3">
      <c r="A42" t="s">
        <v>87</v>
      </c>
      <c r="B42" t="s">
        <v>88</v>
      </c>
      <c r="C42" t="s">
        <v>89</v>
      </c>
      <c r="D42" t="s">
        <v>90</v>
      </c>
      <c r="E42" t="s">
        <v>91</v>
      </c>
      <c r="F42">
        <v>1</v>
      </c>
      <c r="G42">
        <v>120</v>
      </c>
      <c r="H42">
        <v>278</v>
      </c>
      <c r="I42">
        <v>1</v>
      </c>
      <c r="J42">
        <v>2</v>
      </c>
      <c r="K42">
        <v>8.3333333329999992E-3</v>
      </c>
      <c r="L42">
        <v>1.6528925619999999E-2</v>
      </c>
    </row>
    <row r="43" spans="1:12" x14ac:dyDescent="0.3">
      <c r="A43" t="s">
        <v>87</v>
      </c>
      <c r="B43" t="s">
        <v>164</v>
      </c>
      <c r="C43" t="s">
        <v>165</v>
      </c>
      <c r="D43" t="s">
        <v>166</v>
      </c>
      <c r="E43" t="s">
        <v>167</v>
      </c>
      <c r="F43">
        <v>1</v>
      </c>
      <c r="G43">
        <v>10</v>
      </c>
      <c r="H43">
        <v>24</v>
      </c>
      <c r="I43">
        <v>9</v>
      </c>
      <c r="J43">
        <v>14</v>
      </c>
      <c r="K43">
        <v>0.9</v>
      </c>
      <c r="L43">
        <v>0.94736842109999997</v>
      </c>
    </row>
    <row r="44" spans="1:12" x14ac:dyDescent="0.3">
      <c r="A44" t="s">
        <v>87</v>
      </c>
      <c r="B44" t="s">
        <v>133</v>
      </c>
      <c r="C44" t="s">
        <v>14</v>
      </c>
      <c r="D44" t="s">
        <v>134</v>
      </c>
      <c r="E44" t="s">
        <v>135</v>
      </c>
      <c r="F44">
        <v>1</v>
      </c>
      <c r="G44">
        <v>672</v>
      </c>
      <c r="H44">
        <v>1752</v>
      </c>
      <c r="I44">
        <v>3</v>
      </c>
      <c r="J44">
        <v>6</v>
      </c>
      <c r="K44">
        <v>4.4642857139999999E-3</v>
      </c>
      <c r="L44">
        <v>8.8888888889999997E-3</v>
      </c>
    </row>
    <row r="45" spans="1:12" x14ac:dyDescent="0.3">
      <c r="A45" t="s">
        <v>87</v>
      </c>
      <c r="B45" t="s">
        <v>124</v>
      </c>
      <c r="C45" t="s">
        <v>14</v>
      </c>
      <c r="D45" t="s">
        <v>23</v>
      </c>
      <c r="E45" t="s">
        <v>125</v>
      </c>
      <c r="F45">
        <v>1</v>
      </c>
      <c r="G45">
        <v>708</v>
      </c>
      <c r="H45">
        <v>2010</v>
      </c>
      <c r="I45">
        <v>1</v>
      </c>
      <c r="J45">
        <v>4</v>
      </c>
      <c r="K45">
        <v>1.412429379E-3</v>
      </c>
      <c r="L45">
        <v>2.820874471E-3</v>
      </c>
    </row>
    <row r="46" spans="1:12" x14ac:dyDescent="0.3">
      <c r="A46" t="s">
        <v>87</v>
      </c>
      <c r="B46" t="s">
        <v>158</v>
      </c>
      <c r="C46" t="s">
        <v>14</v>
      </c>
      <c r="D46" t="s">
        <v>159</v>
      </c>
      <c r="E46" t="s">
        <v>160</v>
      </c>
      <c r="F46">
        <v>1</v>
      </c>
      <c r="G46">
        <v>418</v>
      </c>
      <c r="H46">
        <v>1048</v>
      </c>
      <c r="I46">
        <v>29</v>
      </c>
      <c r="J46">
        <v>56</v>
      </c>
      <c r="K46">
        <v>6.9377990429999994E-2</v>
      </c>
      <c r="L46">
        <v>0.129753915</v>
      </c>
    </row>
    <row r="47" spans="1:12" x14ac:dyDescent="0.3">
      <c r="A47" t="s">
        <v>87</v>
      </c>
      <c r="B47" t="s">
        <v>239</v>
      </c>
      <c r="C47" t="s">
        <v>240</v>
      </c>
      <c r="D47" t="s">
        <v>240</v>
      </c>
      <c r="E47" t="s">
        <v>241</v>
      </c>
      <c r="F47">
        <v>1</v>
      </c>
      <c r="G47">
        <v>97</v>
      </c>
      <c r="H47">
        <v>223</v>
      </c>
      <c r="I47">
        <v>21</v>
      </c>
      <c r="J47">
        <v>41</v>
      </c>
      <c r="K47">
        <v>0.2164948454</v>
      </c>
      <c r="L47">
        <v>0.35593220339999998</v>
      </c>
    </row>
    <row r="48" spans="1:12" x14ac:dyDescent="0.3">
      <c r="A48" t="s">
        <v>87</v>
      </c>
      <c r="B48" t="s">
        <v>253</v>
      </c>
      <c r="C48" t="s">
        <v>254</v>
      </c>
      <c r="D48" t="s">
        <v>255</v>
      </c>
      <c r="E48" t="s">
        <v>256</v>
      </c>
      <c r="F48">
        <v>1</v>
      </c>
      <c r="G48">
        <v>11</v>
      </c>
      <c r="H48">
        <v>31</v>
      </c>
      <c r="I48">
        <v>8</v>
      </c>
      <c r="J48">
        <v>22</v>
      </c>
      <c r="K48">
        <v>0.72727272730000003</v>
      </c>
      <c r="L48">
        <v>0.84210526320000001</v>
      </c>
    </row>
    <row r="49" spans="1:12" x14ac:dyDescent="0.3">
      <c r="A49" t="s">
        <v>87</v>
      </c>
      <c r="B49" t="s">
        <v>283</v>
      </c>
      <c r="C49" t="s">
        <v>14</v>
      </c>
      <c r="D49" t="s">
        <v>205</v>
      </c>
      <c r="E49" t="s">
        <v>284</v>
      </c>
      <c r="F49">
        <v>1</v>
      </c>
      <c r="G49">
        <v>378</v>
      </c>
      <c r="H49">
        <v>893</v>
      </c>
      <c r="I49">
        <v>3</v>
      </c>
      <c r="J49">
        <v>7</v>
      </c>
      <c r="K49">
        <v>7.9365079370000008E-3</v>
      </c>
      <c r="L49">
        <v>1.5748031499999999E-2</v>
      </c>
    </row>
    <row r="50" spans="1:12" x14ac:dyDescent="0.3">
      <c r="A50" t="s">
        <v>12</v>
      </c>
      <c r="B50" t="s">
        <v>37</v>
      </c>
      <c r="C50" t="s">
        <v>38</v>
      </c>
      <c r="D50" t="s">
        <v>38</v>
      </c>
      <c r="E50">
        <v>4.4000000000000004</v>
      </c>
      <c r="F50">
        <v>0</v>
      </c>
      <c r="G50">
        <v>187</v>
      </c>
      <c r="H50">
        <v>396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12</v>
      </c>
      <c r="B51" t="s">
        <v>74</v>
      </c>
      <c r="C51" t="s">
        <v>75</v>
      </c>
      <c r="D51" t="s">
        <v>75</v>
      </c>
      <c r="E51" t="s">
        <v>76</v>
      </c>
      <c r="F51">
        <v>0</v>
      </c>
      <c r="G51">
        <v>2075</v>
      </c>
      <c r="H51">
        <v>3038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12</v>
      </c>
      <c r="B52" t="s">
        <v>83</v>
      </c>
      <c r="C52" t="s">
        <v>84</v>
      </c>
      <c r="D52" t="s">
        <v>85</v>
      </c>
      <c r="E52" t="s">
        <v>86</v>
      </c>
      <c r="F52">
        <v>0</v>
      </c>
      <c r="G52">
        <v>23</v>
      </c>
      <c r="H52">
        <v>51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12</v>
      </c>
      <c r="B53" t="s">
        <v>103</v>
      </c>
      <c r="C53" t="s">
        <v>44</v>
      </c>
      <c r="D53" t="s">
        <v>104</v>
      </c>
      <c r="E53" t="s">
        <v>105</v>
      </c>
      <c r="F53">
        <v>0</v>
      </c>
      <c r="G53">
        <v>8</v>
      </c>
      <c r="H53">
        <v>17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12</v>
      </c>
      <c r="B54" t="s">
        <v>146</v>
      </c>
      <c r="C54" t="s">
        <v>147</v>
      </c>
      <c r="D54" t="s">
        <v>148</v>
      </c>
      <c r="E54" t="s">
        <v>149</v>
      </c>
      <c r="F54">
        <v>0</v>
      </c>
      <c r="G54">
        <v>10</v>
      </c>
      <c r="H54">
        <v>38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12</v>
      </c>
      <c r="B55" t="s">
        <v>117</v>
      </c>
      <c r="C55" t="s">
        <v>14</v>
      </c>
      <c r="D55" t="s">
        <v>118</v>
      </c>
      <c r="E55" t="s">
        <v>119</v>
      </c>
      <c r="F55">
        <v>0</v>
      </c>
      <c r="G55">
        <v>13</v>
      </c>
      <c r="H55">
        <v>22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12</v>
      </c>
      <c r="B56" t="s">
        <v>130</v>
      </c>
      <c r="C56" t="s">
        <v>14</v>
      </c>
      <c r="D56" t="s">
        <v>131</v>
      </c>
      <c r="E56" t="s">
        <v>132</v>
      </c>
      <c r="F56">
        <v>0</v>
      </c>
      <c r="G56">
        <v>153</v>
      </c>
      <c r="H56">
        <v>376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12</v>
      </c>
      <c r="B57" t="s">
        <v>156</v>
      </c>
      <c r="C57" t="s">
        <v>44</v>
      </c>
      <c r="D57" t="s">
        <v>157</v>
      </c>
      <c r="E57">
        <v>2.6</v>
      </c>
      <c r="F57">
        <v>0</v>
      </c>
      <c r="G57">
        <v>17</v>
      </c>
      <c r="H57">
        <v>59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12</v>
      </c>
      <c r="B58" t="s">
        <v>122</v>
      </c>
      <c r="C58" t="s">
        <v>84</v>
      </c>
      <c r="D58" t="s">
        <v>85</v>
      </c>
      <c r="E58" t="s">
        <v>123</v>
      </c>
      <c r="F58">
        <v>0</v>
      </c>
      <c r="G58">
        <v>24</v>
      </c>
      <c r="H58">
        <v>41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12</v>
      </c>
      <c r="B59" t="s">
        <v>188</v>
      </c>
      <c r="C59" t="s">
        <v>189</v>
      </c>
      <c r="D59" t="s">
        <v>190</v>
      </c>
      <c r="E59" t="s">
        <v>191</v>
      </c>
      <c r="F59">
        <v>0</v>
      </c>
      <c r="G59">
        <v>39</v>
      </c>
      <c r="H59">
        <v>81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12</v>
      </c>
      <c r="B60" t="s">
        <v>193</v>
      </c>
      <c r="C60" t="s">
        <v>194</v>
      </c>
      <c r="D60" t="s">
        <v>195</v>
      </c>
      <c r="E60" t="s">
        <v>196</v>
      </c>
      <c r="F60">
        <v>0</v>
      </c>
      <c r="G60">
        <v>2</v>
      </c>
      <c r="H60">
        <v>3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12</v>
      </c>
      <c r="B61" t="s">
        <v>70</v>
      </c>
      <c r="C61" t="s">
        <v>71</v>
      </c>
      <c r="D61" t="s">
        <v>72</v>
      </c>
      <c r="E61" t="s">
        <v>73</v>
      </c>
      <c r="F61">
        <v>0</v>
      </c>
      <c r="G61">
        <v>24</v>
      </c>
      <c r="H61">
        <v>72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12</v>
      </c>
      <c r="B62" t="s">
        <v>197</v>
      </c>
      <c r="C62" t="s">
        <v>172</v>
      </c>
      <c r="D62" t="s">
        <v>198</v>
      </c>
      <c r="E62" t="s">
        <v>199</v>
      </c>
      <c r="F62">
        <v>0</v>
      </c>
      <c r="G62">
        <v>9</v>
      </c>
      <c r="H62">
        <v>15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12</v>
      </c>
      <c r="B63" t="s">
        <v>29</v>
      </c>
      <c r="C63" t="s">
        <v>30</v>
      </c>
      <c r="D63" t="s">
        <v>31</v>
      </c>
      <c r="E63" t="s">
        <v>32</v>
      </c>
      <c r="F63">
        <v>0</v>
      </c>
      <c r="G63">
        <v>34</v>
      </c>
      <c r="H63">
        <v>71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12</v>
      </c>
      <c r="B64" t="s">
        <v>184</v>
      </c>
      <c r="C64" t="s">
        <v>185</v>
      </c>
      <c r="D64" t="s">
        <v>186</v>
      </c>
      <c r="E64" t="s">
        <v>187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42</v>
      </c>
      <c r="L64">
        <v>0</v>
      </c>
    </row>
    <row r="65" spans="1:12" x14ac:dyDescent="0.3">
      <c r="A65" t="s">
        <v>12</v>
      </c>
      <c r="B65" t="s">
        <v>211</v>
      </c>
      <c r="C65" t="s">
        <v>212</v>
      </c>
      <c r="D65" t="s">
        <v>213</v>
      </c>
      <c r="E65" t="s">
        <v>214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42</v>
      </c>
      <c r="L65">
        <v>0</v>
      </c>
    </row>
    <row r="66" spans="1:12" x14ac:dyDescent="0.3">
      <c r="A66" t="s">
        <v>12</v>
      </c>
      <c r="B66" t="s">
        <v>223</v>
      </c>
      <c r="C66" t="s">
        <v>224</v>
      </c>
      <c r="D66" t="s">
        <v>225</v>
      </c>
      <c r="E66" t="s">
        <v>226</v>
      </c>
      <c r="F66">
        <v>0</v>
      </c>
      <c r="G66">
        <v>36</v>
      </c>
      <c r="H66">
        <v>62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12</v>
      </c>
      <c r="B67" t="s">
        <v>204</v>
      </c>
      <c r="C67" t="s">
        <v>14</v>
      </c>
      <c r="D67" t="s">
        <v>205</v>
      </c>
      <c r="E67" t="s">
        <v>206</v>
      </c>
      <c r="F67">
        <v>0</v>
      </c>
      <c r="G67">
        <v>16</v>
      </c>
      <c r="H67">
        <v>44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12</v>
      </c>
      <c r="B68" t="s">
        <v>221</v>
      </c>
      <c r="C68" t="s">
        <v>14</v>
      </c>
      <c r="D68" t="s">
        <v>205</v>
      </c>
      <c r="E68" t="s">
        <v>222</v>
      </c>
      <c r="F68">
        <v>0</v>
      </c>
      <c r="G68">
        <v>115</v>
      </c>
      <c r="H68">
        <v>254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12</v>
      </c>
      <c r="B69" t="s">
        <v>244</v>
      </c>
      <c r="C69" t="s">
        <v>245</v>
      </c>
      <c r="D69" t="s">
        <v>246</v>
      </c>
      <c r="E69" t="s">
        <v>247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42</v>
      </c>
      <c r="L69">
        <v>0</v>
      </c>
    </row>
    <row r="70" spans="1:12" x14ac:dyDescent="0.3">
      <c r="A70" t="s">
        <v>12</v>
      </c>
      <c r="B70" t="s">
        <v>265</v>
      </c>
      <c r="C70" t="s">
        <v>14</v>
      </c>
      <c r="D70" t="s">
        <v>266</v>
      </c>
      <c r="E70" t="s">
        <v>267</v>
      </c>
      <c r="F70">
        <v>0</v>
      </c>
      <c r="G70">
        <v>20</v>
      </c>
      <c r="H70">
        <v>37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17</v>
      </c>
      <c r="B72" t="s">
        <v>136</v>
      </c>
      <c r="C72" t="s">
        <v>19</v>
      </c>
      <c r="D72" t="s">
        <v>20</v>
      </c>
      <c r="E72" t="s">
        <v>137</v>
      </c>
      <c r="F72">
        <v>0</v>
      </c>
      <c r="G72">
        <v>1</v>
      </c>
      <c r="H72">
        <v>2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17</v>
      </c>
      <c r="B73" t="s">
        <v>154</v>
      </c>
      <c r="C73" t="s">
        <v>19</v>
      </c>
      <c r="D73" t="s">
        <v>20</v>
      </c>
      <c r="E73" t="s">
        <v>155</v>
      </c>
      <c r="F73">
        <v>0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17</v>
      </c>
      <c r="B74" t="s">
        <v>22</v>
      </c>
      <c r="C74" t="s">
        <v>14</v>
      </c>
      <c r="D74" t="s">
        <v>23</v>
      </c>
      <c r="E74" t="s">
        <v>24</v>
      </c>
      <c r="F74">
        <v>0</v>
      </c>
      <c r="G74">
        <v>6</v>
      </c>
      <c r="H74">
        <v>13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25</v>
      </c>
      <c r="B75" t="s">
        <v>108</v>
      </c>
      <c r="C75" t="s">
        <v>14</v>
      </c>
      <c r="D75" t="s">
        <v>109</v>
      </c>
      <c r="E75" t="s">
        <v>110</v>
      </c>
      <c r="F75">
        <v>0</v>
      </c>
      <c r="G75">
        <v>107</v>
      </c>
      <c r="H75">
        <v>240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25</v>
      </c>
      <c r="B76" t="s">
        <v>113</v>
      </c>
      <c r="C76" t="s">
        <v>114</v>
      </c>
      <c r="D76" t="s">
        <v>115</v>
      </c>
      <c r="E76" t="s">
        <v>116</v>
      </c>
      <c r="F76">
        <v>0</v>
      </c>
      <c r="G76">
        <v>15</v>
      </c>
      <c r="H76">
        <v>37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25</v>
      </c>
      <c r="B77" t="s">
        <v>138</v>
      </c>
      <c r="C77" t="s">
        <v>139</v>
      </c>
      <c r="D77" t="s">
        <v>140</v>
      </c>
      <c r="E77" t="s">
        <v>141</v>
      </c>
      <c r="F77">
        <v>0</v>
      </c>
      <c r="G77">
        <v>16</v>
      </c>
      <c r="H77">
        <v>35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25</v>
      </c>
      <c r="B78" t="s">
        <v>126</v>
      </c>
      <c r="C78" t="s">
        <v>127</v>
      </c>
      <c r="D78" t="s">
        <v>128</v>
      </c>
      <c r="E78" t="s">
        <v>129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42</v>
      </c>
      <c r="L78">
        <v>0</v>
      </c>
    </row>
    <row r="79" spans="1:12" x14ac:dyDescent="0.3">
      <c r="A79" t="s">
        <v>25</v>
      </c>
      <c r="B79" t="s">
        <v>171</v>
      </c>
      <c r="C79" t="s">
        <v>172</v>
      </c>
      <c r="D79" t="s">
        <v>173</v>
      </c>
      <c r="E79" t="s">
        <v>174</v>
      </c>
      <c r="F79">
        <v>0</v>
      </c>
      <c r="G79">
        <v>89</v>
      </c>
      <c r="H79">
        <v>211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25</v>
      </c>
      <c r="B80" t="s">
        <v>26</v>
      </c>
      <c r="C80" t="s">
        <v>27</v>
      </c>
      <c r="D80" t="s">
        <v>27</v>
      </c>
      <c r="E80" t="s">
        <v>28</v>
      </c>
      <c r="F80">
        <v>0</v>
      </c>
      <c r="G80">
        <v>14</v>
      </c>
      <c r="H80">
        <v>28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25</v>
      </c>
      <c r="B81" t="s">
        <v>39</v>
      </c>
      <c r="C81" t="s">
        <v>14</v>
      </c>
      <c r="D81" t="s">
        <v>40</v>
      </c>
      <c r="E81" t="s">
        <v>41</v>
      </c>
      <c r="F81">
        <v>0</v>
      </c>
      <c r="G81">
        <v>4</v>
      </c>
      <c r="H81">
        <v>13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25</v>
      </c>
      <c r="B82" t="s">
        <v>175</v>
      </c>
      <c r="C82" t="s">
        <v>27</v>
      </c>
      <c r="D82" t="s">
        <v>27</v>
      </c>
      <c r="E82" t="s">
        <v>176</v>
      </c>
      <c r="F82">
        <v>0</v>
      </c>
      <c r="G82">
        <v>99</v>
      </c>
      <c r="H82">
        <v>209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25</v>
      </c>
      <c r="B83" t="s">
        <v>248</v>
      </c>
      <c r="C83" t="s">
        <v>194</v>
      </c>
      <c r="D83" t="s">
        <v>195</v>
      </c>
      <c r="E83">
        <v>14.6</v>
      </c>
      <c r="F83">
        <v>0</v>
      </c>
      <c r="G83">
        <v>18</v>
      </c>
      <c r="H83">
        <v>20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25</v>
      </c>
      <c r="B84" t="s">
        <v>249</v>
      </c>
      <c r="C84" t="s">
        <v>194</v>
      </c>
      <c r="D84" t="s">
        <v>195</v>
      </c>
      <c r="E84" t="s">
        <v>250</v>
      </c>
      <c r="F84">
        <v>0</v>
      </c>
      <c r="G84">
        <v>20</v>
      </c>
      <c r="H84">
        <v>23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25</v>
      </c>
      <c r="B85" t="s">
        <v>251</v>
      </c>
      <c r="C85" t="s">
        <v>194</v>
      </c>
      <c r="D85" t="s">
        <v>195</v>
      </c>
      <c r="E85" t="s">
        <v>252</v>
      </c>
      <c r="F85">
        <v>0</v>
      </c>
      <c r="G85">
        <v>25</v>
      </c>
      <c r="H85">
        <v>35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25</v>
      </c>
      <c r="B86" t="s">
        <v>271</v>
      </c>
      <c r="C86" t="s">
        <v>194</v>
      </c>
      <c r="D86" t="s">
        <v>195</v>
      </c>
      <c r="E86" t="s">
        <v>272</v>
      </c>
      <c r="F86">
        <v>0</v>
      </c>
      <c r="G86">
        <v>23</v>
      </c>
      <c r="H86">
        <v>33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25</v>
      </c>
      <c r="B87" t="s">
        <v>259</v>
      </c>
      <c r="C87" t="s">
        <v>260</v>
      </c>
      <c r="D87" t="s">
        <v>260</v>
      </c>
      <c r="E87" t="s">
        <v>261</v>
      </c>
      <c r="F87">
        <v>0</v>
      </c>
      <c r="G87">
        <v>20</v>
      </c>
      <c r="H87">
        <v>42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25</v>
      </c>
      <c r="B88" t="s">
        <v>277</v>
      </c>
      <c r="C88" t="s">
        <v>194</v>
      </c>
      <c r="D88" t="s">
        <v>278</v>
      </c>
      <c r="E88" t="s">
        <v>252</v>
      </c>
      <c r="F88">
        <v>0</v>
      </c>
      <c r="G88">
        <v>145</v>
      </c>
      <c r="H88">
        <v>417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87</v>
      </c>
      <c r="B89" t="s">
        <v>106</v>
      </c>
      <c r="C89" t="s">
        <v>14</v>
      </c>
      <c r="D89" t="s">
        <v>23</v>
      </c>
      <c r="E89" t="s">
        <v>107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42</v>
      </c>
      <c r="L89">
        <v>0</v>
      </c>
    </row>
    <row r="90" spans="1:12" x14ac:dyDescent="0.3">
      <c r="A90" t="s">
        <v>87</v>
      </c>
      <c r="B90" t="s">
        <v>180</v>
      </c>
      <c r="C90" t="s">
        <v>181</v>
      </c>
      <c r="D90" t="s">
        <v>182</v>
      </c>
      <c r="E90" t="s">
        <v>183</v>
      </c>
      <c r="F90">
        <v>0</v>
      </c>
      <c r="G90">
        <v>467</v>
      </c>
      <c r="H90">
        <v>1119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87</v>
      </c>
      <c r="B91" t="s">
        <v>161</v>
      </c>
      <c r="C91" t="s">
        <v>14</v>
      </c>
      <c r="D91" t="s">
        <v>162</v>
      </c>
      <c r="E91" t="s">
        <v>163</v>
      </c>
      <c r="F91">
        <v>0</v>
      </c>
      <c r="G91">
        <v>20</v>
      </c>
      <c r="H91">
        <v>47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87</v>
      </c>
      <c r="B92" t="s">
        <v>168</v>
      </c>
      <c r="C92" t="s">
        <v>169</v>
      </c>
      <c r="D92" t="s">
        <v>151</v>
      </c>
      <c r="E92" t="s">
        <v>170</v>
      </c>
      <c r="F92">
        <v>0</v>
      </c>
      <c r="G92">
        <v>107</v>
      </c>
      <c r="H92">
        <v>339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87</v>
      </c>
      <c r="B93" t="s">
        <v>235</v>
      </c>
      <c r="C93" t="s">
        <v>44</v>
      </c>
      <c r="D93" t="s">
        <v>236</v>
      </c>
      <c r="E93">
        <v>1.9</v>
      </c>
      <c r="F93">
        <v>0</v>
      </c>
      <c r="G93">
        <v>22</v>
      </c>
      <c r="H93">
        <v>52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87</v>
      </c>
      <c r="B94" t="s">
        <v>262</v>
      </c>
      <c r="C94" t="s">
        <v>44</v>
      </c>
      <c r="D94" t="s">
        <v>263</v>
      </c>
      <c r="E94" t="s">
        <v>264</v>
      </c>
      <c r="F94">
        <v>0</v>
      </c>
      <c r="G94">
        <v>117</v>
      </c>
      <c r="H94">
        <v>335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87</v>
      </c>
      <c r="B95" t="s">
        <v>275</v>
      </c>
      <c r="C95" t="s">
        <v>14</v>
      </c>
      <c r="D95" t="s">
        <v>118</v>
      </c>
      <c r="E95" t="s">
        <v>276</v>
      </c>
      <c r="F95">
        <v>0</v>
      </c>
      <c r="G95">
        <v>34</v>
      </c>
      <c r="H95">
        <v>110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87</v>
      </c>
      <c r="B96" t="s">
        <v>257</v>
      </c>
      <c r="C96" t="s">
        <v>14</v>
      </c>
      <c r="D96" t="s">
        <v>118</v>
      </c>
      <c r="E96" t="s">
        <v>258</v>
      </c>
      <c r="F96">
        <v>0</v>
      </c>
      <c r="G96">
        <v>231</v>
      </c>
      <c r="H96">
        <v>627</v>
      </c>
      <c r="I96">
        <v>0</v>
      </c>
      <c r="J96">
        <v>0</v>
      </c>
      <c r="K96">
        <v>0</v>
      </c>
      <c r="L96">
        <v>0</v>
      </c>
    </row>
  </sheetData>
  <sortState xmlns:xlrd2="http://schemas.microsoft.com/office/spreadsheetml/2017/richdata2" ref="A2:L96">
    <sortCondition descending="1" ref="F1:F96"/>
  </sortState>
  <phoneticPr fontId="19" type="noConversion"/>
  <conditionalFormatting sqref="B1:B1048576">
    <cfRule type="duplicateValues" dxfId="3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ED01-9381-4C32-9EC2-365672BB8AEE}">
  <dimension ref="A1:L96"/>
  <sheetViews>
    <sheetView workbookViewId="0">
      <selection activeCell="F2" sqref="F2:F49"/>
    </sheetView>
  </sheetViews>
  <sheetFormatPr defaultRowHeight="14" x14ac:dyDescent="0.3"/>
  <cols>
    <col min="2" max="2" width="34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285</v>
      </c>
      <c r="C2" t="s">
        <v>14</v>
      </c>
      <c r="D2" t="s">
        <v>286</v>
      </c>
      <c r="E2" t="s">
        <v>287</v>
      </c>
      <c r="F2">
        <v>1</v>
      </c>
      <c r="G2">
        <v>15</v>
      </c>
      <c r="H2">
        <v>53</v>
      </c>
      <c r="I2">
        <v>5</v>
      </c>
      <c r="J2">
        <v>7</v>
      </c>
      <c r="K2">
        <v>0.33333333329999998</v>
      </c>
      <c r="L2">
        <v>0.5</v>
      </c>
    </row>
    <row r="3" spans="1:12" x14ac:dyDescent="0.3">
      <c r="A3" t="s">
        <v>87</v>
      </c>
      <c r="B3" t="s">
        <v>283</v>
      </c>
      <c r="C3" t="s">
        <v>14</v>
      </c>
      <c r="D3" t="s">
        <v>205</v>
      </c>
      <c r="E3" t="s">
        <v>284</v>
      </c>
      <c r="F3">
        <v>1</v>
      </c>
      <c r="G3">
        <v>141</v>
      </c>
      <c r="H3">
        <v>232</v>
      </c>
      <c r="I3">
        <v>2</v>
      </c>
      <c r="J3">
        <v>2</v>
      </c>
      <c r="K3">
        <v>1.4184397160000001E-2</v>
      </c>
      <c r="L3">
        <v>2.797202797E-2</v>
      </c>
    </row>
    <row r="4" spans="1:12" x14ac:dyDescent="0.3">
      <c r="A4" t="s">
        <v>12</v>
      </c>
      <c r="B4" t="s">
        <v>273</v>
      </c>
      <c r="C4" t="s">
        <v>52</v>
      </c>
      <c r="D4" t="s">
        <v>66</v>
      </c>
      <c r="E4" t="s">
        <v>274</v>
      </c>
      <c r="F4">
        <v>1</v>
      </c>
      <c r="G4">
        <v>18</v>
      </c>
      <c r="H4">
        <v>32</v>
      </c>
      <c r="I4">
        <v>3</v>
      </c>
      <c r="J4">
        <v>9</v>
      </c>
      <c r="K4">
        <v>0.16666666669999999</v>
      </c>
      <c r="L4">
        <v>0.28571428570000001</v>
      </c>
    </row>
    <row r="5" spans="1:12" x14ac:dyDescent="0.3">
      <c r="A5" t="s">
        <v>12</v>
      </c>
      <c r="B5" t="s">
        <v>268</v>
      </c>
      <c r="C5" t="s">
        <v>14</v>
      </c>
      <c r="D5" t="s">
        <v>269</v>
      </c>
      <c r="E5" t="s">
        <v>270</v>
      </c>
      <c r="F5">
        <v>1</v>
      </c>
      <c r="G5">
        <v>28</v>
      </c>
      <c r="H5">
        <v>55</v>
      </c>
      <c r="I5">
        <v>4</v>
      </c>
      <c r="J5">
        <v>8</v>
      </c>
      <c r="K5">
        <v>0.14285714290000001</v>
      </c>
      <c r="L5">
        <v>0.25</v>
      </c>
    </row>
    <row r="6" spans="1:12" x14ac:dyDescent="0.3">
      <c r="A6" t="s">
        <v>87</v>
      </c>
      <c r="B6" t="s">
        <v>253</v>
      </c>
      <c r="C6" t="s">
        <v>254</v>
      </c>
      <c r="D6" t="s">
        <v>255</v>
      </c>
      <c r="E6" t="s">
        <v>256</v>
      </c>
      <c r="F6">
        <v>1</v>
      </c>
      <c r="G6">
        <v>32</v>
      </c>
      <c r="H6">
        <v>12</v>
      </c>
      <c r="I6">
        <v>5</v>
      </c>
      <c r="J6">
        <v>11</v>
      </c>
      <c r="K6">
        <v>0.15625</v>
      </c>
      <c r="L6">
        <v>0.2702702703</v>
      </c>
    </row>
    <row r="7" spans="1:12" x14ac:dyDescent="0.3">
      <c r="A7" t="s">
        <v>25</v>
      </c>
      <c r="B7" t="s">
        <v>242</v>
      </c>
      <c r="C7" t="s">
        <v>14</v>
      </c>
      <c r="D7" t="s">
        <v>109</v>
      </c>
      <c r="E7" t="s">
        <v>243</v>
      </c>
      <c r="F7">
        <v>1</v>
      </c>
      <c r="G7">
        <v>294</v>
      </c>
      <c r="H7">
        <v>356</v>
      </c>
      <c r="I7">
        <v>22</v>
      </c>
      <c r="J7">
        <v>33</v>
      </c>
      <c r="K7">
        <v>7.4829931969999999E-2</v>
      </c>
      <c r="L7">
        <v>0.13924050630000001</v>
      </c>
    </row>
    <row r="8" spans="1:12" x14ac:dyDescent="0.3">
      <c r="A8" t="s">
        <v>87</v>
      </c>
      <c r="B8" t="s">
        <v>239</v>
      </c>
      <c r="C8" t="s">
        <v>240</v>
      </c>
      <c r="D8" t="s">
        <v>240</v>
      </c>
      <c r="E8" t="s">
        <v>241</v>
      </c>
      <c r="F8">
        <v>1</v>
      </c>
      <c r="G8">
        <v>219</v>
      </c>
      <c r="H8">
        <v>316</v>
      </c>
      <c r="I8">
        <v>26</v>
      </c>
      <c r="J8">
        <v>38</v>
      </c>
      <c r="K8">
        <v>0.1187214612</v>
      </c>
      <c r="L8">
        <v>0.21224489799999999</v>
      </c>
    </row>
    <row r="9" spans="1:12" x14ac:dyDescent="0.3">
      <c r="A9" t="s">
        <v>25</v>
      </c>
      <c r="B9" t="s">
        <v>237</v>
      </c>
      <c r="C9" t="s">
        <v>27</v>
      </c>
      <c r="D9" t="s">
        <v>27</v>
      </c>
      <c r="E9" t="s">
        <v>238</v>
      </c>
      <c r="F9">
        <v>1</v>
      </c>
      <c r="G9">
        <v>12</v>
      </c>
      <c r="H9">
        <v>13</v>
      </c>
      <c r="I9">
        <v>11</v>
      </c>
      <c r="J9">
        <v>13</v>
      </c>
      <c r="K9">
        <v>0.91666666669999997</v>
      </c>
      <c r="L9">
        <v>0.95652173910000005</v>
      </c>
    </row>
    <row r="10" spans="1:12" x14ac:dyDescent="0.3">
      <c r="A10" t="s">
        <v>12</v>
      </c>
      <c r="B10" t="s">
        <v>233</v>
      </c>
      <c r="C10" t="s">
        <v>52</v>
      </c>
      <c r="D10" t="s">
        <v>53</v>
      </c>
      <c r="E10" t="s">
        <v>234</v>
      </c>
      <c r="F10">
        <v>1</v>
      </c>
      <c r="G10">
        <v>38</v>
      </c>
      <c r="H10">
        <v>81</v>
      </c>
      <c r="I10">
        <v>4</v>
      </c>
      <c r="J10">
        <v>12</v>
      </c>
      <c r="K10">
        <v>0.1052631579</v>
      </c>
      <c r="L10">
        <v>0.1904761905</v>
      </c>
    </row>
    <row r="11" spans="1:12" x14ac:dyDescent="0.3">
      <c r="A11" t="s">
        <v>25</v>
      </c>
      <c r="B11" t="s">
        <v>232</v>
      </c>
      <c r="C11" t="s">
        <v>27</v>
      </c>
      <c r="D11" t="s">
        <v>27</v>
      </c>
      <c r="E11" t="s">
        <v>176</v>
      </c>
      <c r="F11">
        <v>1</v>
      </c>
      <c r="G11">
        <v>577</v>
      </c>
      <c r="H11">
        <v>447</v>
      </c>
      <c r="I11">
        <v>1</v>
      </c>
      <c r="J11">
        <v>1</v>
      </c>
      <c r="K11">
        <v>1.7331022529999999E-3</v>
      </c>
      <c r="L11">
        <v>3.460207612E-3</v>
      </c>
    </row>
    <row r="12" spans="1:12" x14ac:dyDescent="0.3">
      <c r="A12" t="s">
        <v>12</v>
      </c>
      <c r="B12" t="s">
        <v>229</v>
      </c>
      <c r="C12" t="s">
        <v>230</v>
      </c>
      <c r="D12" t="s">
        <v>231</v>
      </c>
      <c r="E12">
        <v>7.5</v>
      </c>
      <c r="F12">
        <v>1</v>
      </c>
      <c r="G12">
        <v>37</v>
      </c>
      <c r="H12">
        <v>43</v>
      </c>
      <c r="I12">
        <v>9</v>
      </c>
      <c r="J12">
        <v>16</v>
      </c>
      <c r="K12">
        <v>0.24324324319999999</v>
      </c>
      <c r="L12">
        <v>0.39130434780000001</v>
      </c>
    </row>
    <row r="13" spans="1:12" x14ac:dyDescent="0.3">
      <c r="A13" t="s">
        <v>12</v>
      </c>
      <c r="B13" t="s">
        <v>218</v>
      </c>
      <c r="C13" t="s">
        <v>14</v>
      </c>
      <c r="D13" t="s">
        <v>219</v>
      </c>
      <c r="E13" t="s">
        <v>220</v>
      </c>
      <c r="F13">
        <v>1</v>
      </c>
      <c r="G13">
        <v>32</v>
      </c>
      <c r="H13">
        <v>50</v>
      </c>
      <c r="I13">
        <v>19</v>
      </c>
      <c r="J13">
        <v>50</v>
      </c>
      <c r="K13">
        <v>0.59375</v>
      </c>
      <c r="L13">
        <v>0.74509803919999995</v>
      </c>
    </row>
    <row r="14" spans="1:12" x14ac:dyDescent="0.3">
      <c r="A14" t="s">
        <v>12</v>
      </c>
      <c r="B14" t="s">
        <v>217</v>
      </c>
      <c r="C14" t="s">
        <v>38</v>
      </c>
      <c r="D14" t="s">
        <v>38</v>
      </c>
      <c r="E14">
        <v>5.0999999999999996</v>
      </c>
      <c r="F14">
        <v>1</v>
      </c>
      <c r="G14">
        <v>31</v>
      </c>
      <c r="H14">
        <v>7</v>
      </c>
      <c r="I14">
        <v>7</v>
      </c>
      <c r="J14">
        <v>7</v>
      </c>
      <c r="K14">
        <v>0.22580645160000001</v>
      </c>
      <c r="L14">
        <v>0.36842105260000002</v>
      </c>
    </row>
    <row r="15" spans="1:12" x14ac:dyDescent="0.3">
      <c r="A15" t="s">
        <v>12</v>
      </c>
      <c r="B15" t="s">
        <v>216</v>
      </c>
      <c r="C15" t="s">
        <v>38</v>
      </c>
      <c r="D15" t="s">
        <v>38</v>
      </c>
      <c r="E15">
        <v>5.0999999999999996</v>
      </c>
      <c r="F15">
        <v>1</v>
      </c>
      <c r="G15">
        <v>14</v>
      </c>
      <c r="H15">
        <v>3</v>
      </c>
      <c r="I15">
        <v>3</v>
      </c>
      <c r="J15">
        <v>3</v>
      </c>
      <c r="K15">
        <v>0.21428571430000001</v>
      </c>
      <c r="L15">
        <v>0.35294117650000001</v>
      </c>
    </row>
    <row r="16" spans="1:12" x14ac:dyDescent="0.3">
      <c r="A16" t="s">
        <v>25</v>
      </c>
      <c r="B16" t="s">
        <v>215</v>
      </c>
      <c r="C16" t="s">
        <v>38</v>
      </c>
      <c r="D16" t="s">
        <v>38</v>
      </c>
      <c r="E16">
        <v>5.0999999999999996</v>
      </c>
      <c r="F16">
        <v>1</v>
      </c>
      <c r="G16">
        <v>1</v>
      </c>
      <c r="H16">
        <v>2</v>
      </c>
      <c r="I16">
        <v>1</v>
      </c>
      <c r="J16">
        <v>2</v>
      </c>
      <c r="K16">
        <v>1</v>
      </c>
      <c r="L16">
        <v>1</v>
      </c>
    </row>
    <row r="17" spans="1:12" x14ac:dyDescent="0.3">
      <c r="A17" t="s">
        <v>25</v>
      </c>
      <c r="B17" t="s">
        <v>209</v>
      </c>
      <c r="C17" t="s">
        <v>34</v>
      </c>
      <c r="D17" t="s">
        <v>35</v>
      </c>
      <c r="E17" t="s">
        <v>210</v>
      </c>
      <c r="F17">
        <v>1</v>
      </c>
      <c r="G17">
        <v>21</v>
      </c>
      <c r="H17">
        <v>31</v>
      </c>
      <c r="I17">
        <v>1</v>
      </c>
      <c r="J17">
        <v>2</v>
      </c>
      <c r="K17">
        <v>4.761904762E-2</v>
      </c>
      <c r="L17">
        <v>9.0909090910000004E-2</v>
      </c>
    </row>
    <row r="18" spans="1:12" x14ac:dyDescent="0.3">
      <c r="A18" t="s">
        <v>12</v>
      </c>
      <c r="B18" t="s">
        <v>200</v>
      </c>
      <c r="C18" t="s">
        <v>201</v>
      </c>
      <c r="D18" t="s">
        <v>202</v>
      </c>
      <c r="E18" t="s">
        <v>203</v>
      </c>
      <c r="F18">
        <v>1</v>
      </c>
      <c r="G18">
        <v>94</v>
      </c>
      <c r="H18">
        <v>110</v>
      </c>
      <c r="I18">
        <v>3</v>
      </c>
      <c r="J18">
        <v>4</v>
      </c>
      <c r="K18">
        <v>3.1914893620000002E-2</v>
      </c>
      <c r="L18">
        <v>6.1855670100000003E-2</v>
      </c>
    </row>
    <row r="19" spans="1:12" x14ac:dyDescent="0.3">
      <c r="A19" t="s">
        <v>12</v>
      </c>
      <c r="B19" t="s">
        <v>184</v>
      </c>
      <c r="C19" t="s">
        <v>185</v>
      </c>
      <c r="D19" t="s">
        <v>186</v>
      </c>
      <c r="E19" t="s">
        <v>187</v>
      </c>
      <c r="F19">
        <v>1</v>
      </c>
      <c r="G19">
        <v>2</v>
      </c>
      <c r="H19">
        <v>2</v>
      </c>
      <c r="I19">
        <v>2</v>
      </c>
      <c r="J19">
        <v>2</v>
      </c>
      <c r="K19">
        <v>1</v>
      </c>
      <c r="L19">
        <v>1</v>
      </c>
    </row>
    <row r="20" spans="1:12" x14ac:dyDescent="0.3">
      <c r="A20" t="s">
        <v>12</v>
      </c>
      <c r="B20" t="s">
        <v>177</v>
      </c>
      <c r="C20" t="s">
        <v>44</v>
      </c>
      <c r="D20" t="s">
        <v>178</v>
      </c>
      <c r="E20" t="s">
        <v>179</v>
      </c>
      <c r="F20">
        <v>1</v>
      </c>
      <c r="G20">
        <v>3</v>
      </c>
      <c r="H20">
        <v>7</v>
      </c>
      <c r="I20">
        <v>3</v>
      </c>
      <c r="J20">
        <v>7</v>
      </c>
      <c r="K20">
        <v>1</v>
      </c>
      <c r="L20">
        <v>1</v>
      </c>
    </row>
    <row r="21" spans="1:12" x14ac:dyDescent="0.3">
      <c r="A21" t="s">
        <v>25</v>
      </c>
      <c r="B21" t="s">
        <v>175</v>
      </c>
      <c r="C21" t="s">
        <v>27</v>
      </c>
      <c r="D21" t="s">
        <v>27</v>
      </c>
      <c r="E21" t="s">
        <v>176</v>
      </c>
      <c r="F21">
        <v>1</v>
      </c>
      <c r="G21">
        <v>8</v>
      </c>
      <c r="H21">
        <v>5</v>
      </c>
      <c r="I21">
        <v>4</v>
      </c>
      <c r="J21">
        <v>5</v>
      </c>
      <c r="K21">
        <v>0.5</v>
      </c>
      <c r="L21">
        <v>0.66666666669999997</v>
      </c>
    </row>
    <row r="22" spans="1:12" x14ac:dyDescent="0.3">
      <c r="A22" t="s">
        <v>87</v>
      </c>
      <c r="B22" t="s">
        <v>164</v>
      </c>
      <c r="C22" t="s">
        <v>165</v>
      </c>
      <c r="D22" t="s">
        <v>166</v>
      </c>
      <c r="E22" t="s">
        <v>167</v>
      </c>
      <c r="F22">
        <v>1</v>
      </c>
      <c r="G22">
        <v>2</v>
      </c>
      <c r="H22">
        <v>1</v>
      </c>
      <c r="I22">
        <v>1</v>
      </c>
      <c r="J22">
        <v>1</v>
      </c>
      <c r="K22">
        <v>0.5</v>
      </c>
      <c r="L22">
        <v>0.66666666669999997</v>
      </c>
    </row>
    <row r="23" spans="1:12" x14ac:dyDescent="0.3">
      <c r="A23" t="s">
        <v>87</v>
      </c>
      <c r="B23" t="s">
        <v>158</v>
      </c>
      <c r="C23" t="s">
        <v>14</v>
      </c>
      <c r="D23" t="s">
        <v>159</v>
      </c>
      <c r="E23" t="s">
        <v>160</v>
      </c>
      <c r="F23">
        <v>1</v>
      </c>
      <c r="G23">
        <v>241</v>
      </c>
      <c r="H23">
        <v>251</v>
      </c>
      <c r="I23">
        <v>18</v>
      </c>
      <c r="J23">
        <v>31</v>
      </c>
      <c r="K23">
        <v>7.4688796680000002E-2</v>
      </c>
      <c r="L23">
        <v>0.13899613899999999</v>
      </c>
    </row>
    <row r="24" spans="1:12" x14ac:dyDescent="0.3">
      <c r="A24" t="s">
        <v>12</v>
      </c>
      <c r="B24" t="s">
        <v>150</v>
      </c>
      <c r="C24" t="s">
        <v>151</v>
      </c>
      <c r="D24" t="s">
        <v>152</v>
      </c>
      <c r="E24" t="s">
        <v>153</v>
      </c>
      <c r="F24">
        <v>1</v>
      </c>
      <c r="G24">
        <v>3</v>
      </c>
      <c r="H24">
        <v>3</v>
      </c>
      <c r="I24">
        <v>3</v>
      </c>
      <c r="J24">
        <v>3</v>
      </c>
      <c r="K24">
        <v>1</v>
      </c>
      <c r="L24">
        <v>1</v>
      </c>
    </row>
    <row r="25" spans="1:12" x14ac:dyDescent="0.3">
      <c r="A25" t="s">
        <v>12</v>
      </c>
      <c r="B25" t="s">
        <v>146</v>
      </c>
      <c r="C25" t="s">
        <v>147</v>
      </c>
      <c r="D25" t="s">
        <v>148</v>
      </c>
      <c r="E25" t="s">
        <v>149</v>
      </c>
      <c r="F25">
        <v>1</v>
      </c>
      <c r="G25">
        <v>18</v>
      </c>
      <c r="H25">
        <v>38</v>
      </c>
      <c r="I25">
        <v>4</v>
      </c>
      <c r="J25">
        <v>4</v>
      </c>
      <c r="K25">
        <v>0.22222222220000001</v>
      </c>
      <c r="L25">
        <v>0.36363636360000001</v>
      </c>
    </row>
    <row r="26" spans="1:12" x14ac:dyDescent="0.3">
      <c r="A26" t="s">
        <v>12</v>
      </c>
      <c r="B26" t="s">
        <v>142</v>
      </c>
      <c r="C26" t="s">
        <v>143</v>
      </c>
      <c r="D26" t="s">
        <v>144</v>
      </c>
      <c r="E26" t="s">
        <v>145</v>
      </c>
      <c r="F26">
        <v>1</v>
      </c>
      <c r="G26">
        <v>17</v>
      </c>
      <c r="H26">
        <v>23</v>
      </c>
      <c r="I26">
        <v>3</v>
      </c>
      <c r="J26">
        <v>4</v>
      </c>
      <c r="K26">
        <v>0.1764705882</v>
      </c>
      <c r="L26">
        <v>0.3</v>
      </c>
    </row>
    <row r="27" spans="1:12" x14ac:dyDescent="0.3">
      <c r="A27" t="s">
        <v>87</v>
      </c>
      <c r="B27" t="s">
        <v>124</v>
      </c>
      <c r="C27" t="s">
        <v>14</v>
      </c>
      <c r="D27" t="s">
        <v>23</v>
      </c>
      <c r="E27" t="s">
        <v>125</v>
      </c>
      <c r="F27">
        <v>1</v>
      </c>
      <c r="G27">
        <v>643</v>
      </c>
      <c r="H27">
        <v>384</v>
      </c>
      <c r="I27">
        <v>2</v>
      </c>
      <c r="J27">
        <v>9</v>
      </c>
      <c r="K27">
        <v>3.110419907E-3</v>
      </c>
      <c r="L27">
        <v>6.2015503880000003E-3</v>
      </c>
    </row>
    <row r="28" spans="1:12" x14ac:dyDescent="0.3">
      <c r="A28" t="s">
        <v>12</v>
      </c>
      <c r="B28" t="s">
        <v>122</v>
      </c>
      <c r="C28" t="s">
        <v>84</v>
      </c>
      <c r="D28" t="s">
        <v>85</v>
      </c>
      <c r="E28" t="s">
        <v>123</v>
      </c>
      <c r="F28">
        <v>1</v>
      </c>
      <c r="G28">
        <v>5</v>
      </c>
      <c r="H28">
        <v>15</v>
      </c>
      <c r="I28">
        <v>1</v>
      </c>
      <c r="J28">
        <v>2</v>
      </c>
      <c r="K28">
        <v>0.2</v>
      </c>
      <c r="L28">
        <v>0.33333333329999998</v>
      </c>
    </row>
    <row r="29" spans="1:12" x14ac:dyDescent="0.3">
      <c r="A29" t="s">
        <v>25</v>
      </c>
      <c r="B29" t="s">
        <v>120</v>
      </c>
      <c r="C29" t="s">
        <v>44</v>
      </c>
      <c r="D29" t="s">
        <v>45</v>
      </c>
      <c r="E29" t="s">
        <v>121</v>
      </c>
      <c r="F29">
        <v>1</v>
      </c>
      <c r="G29">
        <v>14</v>
      </c>
      <c r="H29">
        <v>4</v>
      </c>
      <c r="I29">
        <v>2</v>
      </c>
      <c r="J29">
        <v>4</v>
      </c>
      <c r="K29">
        <v>0.14285714290000001</v>
      </c>
      <c r="L29">
        <v>0.25</v>
      </c>
    </row>
    <row r="30" spans="1:12" x14ac:dyDescent="0.3">
      <c r="A30" t="s">
        <v>25</v>
      </c>
      <c r="B30" t="s">
        <v>112</v>
      </c>
      <c r="C30" t="s">
        <v>14</v>
      </c>
      <c r="D30" t="s">
        <v>109</v>
      </c>
      <c r="E30" t="s">
        <v>110</v>
      </c>
      <c r="F30">
        <v>1</v>
      </c>
      <c r="G30">
        <v>220</v>
      </c>
      <c r="H30">
        <v>204</v>
      </c>
      <c r="I30">
        <v>2</v>
      </c>
      <c r="J30">
        <v>2</v>
      </c>
      <c r="K30">
        <v>9.0909090910000004E-3</v>
      </c>
      <c r="L30">
        <v>1.8018018019999998E-2</v>
      </c>
    </row>
    <row r="31" spans="1:12" x14ac:dyDescent="0.3">
      <c r="A31" t="s">
        <v>25</v>
      </c>
      <c r="B31" t="s">
        <v>111</v>
      </c>
      <c r="C31" t="s">
        <v>14</v>
      </c>
      <c r="D31" t="s">
        <v>109</v>
      </c>
      <c r="E31" t="s">
        <v>110</v>
      </c>
      <c r="F31">
        <v>1</v>
      </c>
      <c r="G31">
        <v>206</v>
      </c>
      <c r="H31">
        <v>176</v>
      </c>
      <c r="I31">
        <v>1</v>
      </c>
      <c r="J31">
        <v>1</v>
      </c>
      <c r="K31">
        <v>4.8543689320000001E-3</v>
      </c>
      <c r="L31">
        <v>9.6618357489999997E-3</v>
      </c>
    </row>
    <row r="32" spans="1:12" x14ac:dyDescent="0.3">
      <c r="A32" t="s">
        <v>12</v>
      </c>
      <c r="B32" t="s">
        <v>103</v>
      </c>
      <c r="C32" t="s">
        <v>44</v>
      </c>
      <c r="D32" t="s">
        <v>104</v>
      </c>
      <c r="E32" t="s">
        <v>105</v>
      </c>
      <c r="F32">
        <v>1</v>
      </c>
      <c r="G32">
        <v>35</v>
      </c>
      <c r="H32">
        <v>31</v>
      </c>
      <c r="I32">
        <v>4</v>
      </c>
      <c r="J32">
        <v>4</v>
      </c>
      <c r="K32">
        <v>0.11428571429999999</v>
      </c>
      <c r="L32">
        <v>0.20512820509999999</v>
      </c>
    </row>
    <row r="33" spans="1:12" x14ac:dyDescent="0.3">
      <c r="A33" t="s">
        <v>12</v>
      </c>
      <c r="B33" t="s">
        <v>101</v>
      </c>
      <c r="C33" t="s">
        <v>14</v>
      </c>
      <c r="D33" t="s">
        <v>97</v>
      </c>
      <c r="E33" t="s">
        <v>102</v>
      </c>
      <c r="F33">
        <v>1</v>
      </c>
      <c r="G33">
        <v>16</v>
      </c>
      <c r="H33">
        <v>54</v>
      </c>
      <c r="I33">
        <v>16</v>
      </c>
      <c r="J33">
        <v>54</v>
      </c>
      <c r="K33">
        <v>1</v>
      </c>
      <c r="L33">
        <v>1</v>
      </c>
    </row>
    <row r="34" spans="1:12" x14ac:dyDescent="0.3">
      <c r="A34" t="s">
        <v>12</v>
      </c>
      <c r="B34" t="s">
        <v>99</v>
      </c>
      <c r="C34" t="s">
        <v>48</v>
      </c>
      <c r="D34" t="s">
        <v>49</v>
      </c>
      <c r="E34" t="s">
        <v>100</v>
      </c>
      <c r="F34">
        <v>1</v>
      </c>
      <c r="G34">
        <v>10</v>
      </c>
      <c r="H34">
        <v>32</v>
      </c>
      <c r="I34">
        <v>6</v>
      </c>
      <c r="J34">
        <v>20</v>
      </c>
      <c r="K34">
        <v>0.6</v>
      </c>
      <c r="L34">
        <v>0.75</v>
      </c>
    </row>
    <row r="35" spans="1:12" x14ac:dyDescent="0.3">
      <c r="A35" t="s">
        <v>12</v>
      </c>
      <c r="B35" t="s">
        <v>92</v>
      </c>
      <c r="C35" t="s">
        <v>93</v>
      </c>
      <c r="D35" t="s">
        <v>94</v>
      </c>
      <c r="E35" t="s">
        <v>95</v>
      </c>
      <c r="F35">
        <v>1</v>
      </c>
      <c r="G35">
        <v>80</v>
      </c>
      <c r="H35">
        <v>181</v>
      </c>
      <c r="I35">
        <v>2</v>
      </c>
      <c r="J35">
        <v>2</v>
      </c>
      <c r="K35">
        <v>2.5000000000000001E-2</v>
      </c>
      <c r="L35">
        <v>4.8780487800000001E-2</v>
      </c>
    </row>
    <row r="36" spans="1:12" x14ac:dyDescent="0.3">
      <c r="A36" t="s">
        <v>12</v>
      </c>
      <c r="B36" t="s">
        <v>83</v>
      </c>
      <c r="C36" t="s">
        <v>84</v>
      </c>
      <c r="D36" t="s">
        <v>85</v>
      </c>
      <c r="E36" t="s">
        <v>86</v>
      </c>
      <c r="F36">
        <v>1</v>
      </c>
      <c r="G36">
        <v>6</v>
      </c>
      <c r="H36">
        <v>12</v>
      </c>
      <c r="I36">
        <v>1</v>
      </c>
      <c r="J36">
        <v>3</v>
      </c>
      <c r="K36">
        <v>0.16666666669999999</v>
      </c>
      <c r="L36">
        <v>0.28571428570000001</v>
      </c>
    </row>
    <row r="37" spans="1:12" x14ac:dyDescent="0.3">
      <c r="A37" t="s">
        <v>12</v>
      </c>
      <c r="B37" t="s">
        <v>79</v>
      </c>
      <c r="C37" t="s">
        <v>80</v>
      </c>
      <c r="D37" t="s">
        <v>81</v>
      </c>
      <c r="E37" t="s">
        <v>82</v>
      </c>
      <c r="F37">
        <v>1</v>
      </c>
      <c r="G37">
        <v>83</v>
      </c>
      <c r="H37">
        <v>106</v>
      </c>
      <c r="I37">
        <v>8</v>
      </c>
      <c r="J37">
        <v>9</v>
      </c>
      <c r="K37">
        <v>9.6385542170000005E-2</v>
      </c>
      <c r="L37">
        <v>0.17582417580000001</v>
      </c>
    </row>
    <row r="38" spans="1:12" x14ac:dyDescent="0.3">
      <c r="A38" t="s">
        <v>12</v>
      </c>
      <c r="B38" t="s">
        <v>77</v>
      </c>
      <c r="C38" t="s">
        <v>14</v>
      </c>
      <c r="D38" t="s">
        <v>78</v>
      </c>
      <c r="E38">
        <v>1.18</v>
      </c>
      <c r="F38">
        <v>1</v>
      </c>
      <c r="G38">
        <v>76</v>
      </c>
      <c r="H38">
        <v>112</v>
      </c>
      <c r="I38">
        <v>6</v>
      </c>
      <c r="J38">
        <v>11</v>
      </c>
      <c r="K38">
        <v>7.8947368419999997E-2</v>
      </c>
      <c r="L38">
        <v>0.14634146340000001</v>
      </c>
    </row>
    <row r="39" spans="1:12" x14ac:dyDescent="0.3">
      <c r="A39" t="s">
        <v>12</v>
      </c>
      <c r="B39" t="s">
        <v>70</v>
      </c>
      <c r="C39" t="s">
        <v>71</v>
      </c>
      <c r="D39" t="s">
        <v>72</v>
      </c>
      <c r="E39" t="s">
        <v>73</v>
      </c>
      <c r="F39">
        <v>1</v>
      </c>
      <c r="G39">
        <v>30</v>
      </c>
      <c r="H39">
        <v>81</v>
      </c>
      <c r="I39">
        <v>3</v>
      </c>
      <c r="J39">
        <v>10</v>
      </c>
      <c r="K39">
        <v>0.1</v>
      </c>
      <c r="L39">
        <v>0.18181818180000001</v>
      </c>
    </row>
    <row r="40" spans="1:12" x14ac:dyDescent="0.3">
      <c r="A40" t="s">
        <v>12</v>
      </c>
      <c r="B40" t="s">
        <v>67</v>
      </c>
      <c r="C40" t="s">
        <v>68</v>
      </c>
      <c r="D40" t="s">
        <v>69</v>
      </c>
      <c r="E40">
        <v>1.1200000000000001</v>
      </c>
      <c r="F40">
        <v>1</v>
      </c>
      <c r="G40">
        <v>47</v>
      </c>
      <c r="H40">
        <v>71</v>
      </c>
      <c r="I40">
        <v>7</v>
      </c>
      <c r="J40">
        <v>17</v>
      </c>
      <c r="K40">
        <v>0.1489361702</v>
      </c>
      <c r="L40">
        <v>0.25925925929999999</v>
      </c>
    </row>
    <row r="41" spans="1:12" x14ac:dyDescent="0.3">
      <c r="A41" t="s">
        <v>12</v>
      </c>
      <c r="B41" t="s">
        <v>65</v>
      </c>
      <c r="C41" t="s">
        <v>52</v>
      </c>
      <c r="D41" t="s">
        <v>66</v>
      </c>
      <c r="E41">
        <v>3.5</v>
      </c>
      <c r="F41">
        <v>1</v>
      </c>
      <c r="G41">
        <v>13</v>
      </c>
      <c r="H41">
        <v>18</v>
      </c>
      <c r="I41">
        <v>2</v>
      </c>
      <c r="J41">
        <v>7</v>
      </c>
      <c r="K41">
        <v>0.1538461538</v>
      </c>
      <c r="L41">
        <v>0.2666666667</v>
      </c>
    </row>
    <row r="42" spans="1:12" x14ac:dyDescent="0.3">
      <c r="A42" t="s">
        <v>25</v>
      </c>
      <c r="B42" t="s">
        <v>57</v>
      </c>
      <c r="C42" t="s">
        <v>58</v>
      </c>
      <c r="D42" t="s">
        <v>59</v>
      </c>
      <c r="E42" t="s">
        <v>60</v>
      </c>
      <c r="F42">
        <v>1</v>
      </c>
      <c r="G42">
        <v>71</v>
      </c>
      <c r="H42">
        <v>133</v>
      </c>
      <c r="I42">
        <v>4</v>
      </c>
      <c r="J42">
        <v>7</v>
      </c>
      <c r="K42">
        <v>5.6338028169999999E-2</v>
      </c>
      <c r="L42">
        <v>0.1066666667</v>
      </c>
    </row>
    <row r="43" spans="1:12" x14ac:dyDescent="0.3">
      <c r="A43" t="s">
        <v>25</v>
      </c>
      <c r="B43" t="s">
        <v>55</v>
      </c>
      <c r="C43" t="s">
        <v>34</v>
      </c>
      <c r="D43" t="s">
        <v>35</v>
      </c>
      <c r="E43" t="s">
        <v>56</v>
      </c>
      <c r="F43">
        <v>1</v>
      </c>
      <c r="G43">
        <v>13</v>
      </c>
      <c r="H43">
        <v>17</v>
      </c>
      <c r="I43">
        <v>1</v>
      </c>
      <c r="J43">
        <v>2</v>
      </c>
      <c r="K43">
        <v>7.692307692E-2</v>
      </c>
      <c r="L43">
        <v>0.14285714290000001</v>
      </c>
    </row>
    <row r="44" spans="1:12" x14ac:dyDescent="0.3">
      <c r="A44" t="s">
        <v>17</v>
      </c>
      <c r="B44" t="s">
        <v>51</v>
      </c>
      <c r="C44" t="s">
        <v>52</v>
      </c>
      <c r="D44" t="s">
        <v>53</v>
      </c>
      <c r="E44" t="s">
        <v>54</v>
      </c>
      <c r="F44">
        <v>1</v>
      </c>
      <c r="G44">
        <v>3</v>
      </c>
      <c r="H44">
        <v>12</v>
      </c>
      <c r="I44">
        <v>2</v>
      </c>
      <c r="J44">
        <v>8</v>
      </c>
      <c r="K44">
        <v>0.66666666669999997</v>
      </c>
      <c r="L44">
        <v>0.8</v>
      </c>
    </row>
    <row r="45" spans="1:12" x14ac:dyDescent="0.3">
      <c r="A45" t="s">
        <v>12</v>
      </c>
      <c r="B45" t="s">
        <v>47</v>
      </c>
      <c r="C45" t="s">
        <v>48</v>
      </c>
      <c r="D45" t="s">
        <v>49</v>
      </c>
      <c r="E45" t="s">
        <v>50</v>
      </c>
      <c r="F45">
        <v>1</v>
      </c>
      <c r="G45">
        <v>10</v>
      </c>
      <c r="H45">
        <v>40</v>
      </c>
      <c r="I45">
        <v>9</v>
      </c>
      <c r="J45">
        <v>36</v>
      </c>
      <c r="K45">
        <v>0.9</v>
      </c>
      <c r="L45">
        <v>0.94736842109999997</v>
      </c>
    </row>
    <row r="46" spans="1:12" x14ac:dyDescent="0.3">
      <c r="A46" t="s">
        <v>25</v>
      </c>
      <c r="B46" t="s">
        <v>43</v>
      </c>
      <c r="C46" t="s">
        <v>44</v>
      </c>
      <c r="D46" t="s">
        <v>45</v>
      </c>
      <c r="E46" t="s">
        <v>46</v>
      </c>
      <c r="F46">
        <v>1</v>
      </c>
      <c r="G46">
        <v>15</v>
      </c>
      <c r="H46">
        <v>12</v>
      </c>
      <c r="I46">
        <v>6</v>
      </c>
      <c r="J46">
        <v>12</v>
      </c>
      <c r="K46">
        <v>0.4</v>
      </c>
      <c r="L46">
        <v>0.57142857140000003</v>
      </c>
    </row>
    <row r="47" spans="1:12" x14ac:dyDescent="0.3">
      <c r="A47" t="s">
        <v>12</v>
      </c>
      <c r="B47" t="s">
        <v>29</v>
      </c>
      <c r="C47" t="s">
        <v>30</v>
      </c>
      <c r="D47" t="s">
        <v>31</v>
      </c>
      <c r="E47" t="s">
        <v>32</v>
      </c>
      <c r="F47">
        <v>1</v>
      </c>
      <c r="G47">
        <v>19</v>
      </c>
      <c r="H47">
        <v>22</v>
      </c>
      <c r="I47">
        <v>2</v>
      </c>
      <c r="J47">
        <v>4</v>
      </c>
      <c r="K47">
        <v>0.1052631579</v>
      </c>
      <c r="L47">
        <v>0.1904761905</v>
      </c>
    </row>
    <row r="48" spans="1:12" x14ac:dyDescent="0.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>
        <v>1</v>
      </c>
      <c r="G48">
        <v>38</v>
      </c>
      <c r="H48">
        <v>59</v>
      </c>
      <c r="I48">
        <v>5</v>
      </c>
      <c r="J48">
        <v>15</v>
      </c>
      <c r="K48">
        <v>0.13157894740000001</v>
      </c>
      <c r="L48">
        <v>0.23255813950000001</v>
      </c>
    </row>
    <row r="49" spans="1:12" x14ac:dyDescent="0.3">
      <c r="A49" t="s">
        <v>25</v>
      </c>
      <c r="B49" t="s">
        <v>33</v>
      </c>
      <c r="C49" t="s">
        <v>34</v>
      </c>
      <c r="D49" t="s">
        <v>35</v>
      </c>
      <c r="E49" t="s">
        <v>36</v>
      </c>
      <c r="F49">
        <v>1</v>
      </c>
      <c r="G49">
        <v>23</v>
      </c>
      <c r="H49">
        <v>44</v>
      </c>
      <c r="I49">
        <v>8</v>
      </c>
      <c r="J49">
        <v>10</v>
      </c>
      <c r="K49">
        <v>0.34782608700000001</v>
      </c>
      <c r="L49">
        <v>0.51612903229999996</v>
      </c>
    </row>
    <row r="50" spans="1:12" x14ac:dyDescent="0.3">
      <c r="A50" t="s">
        <v>12</v>
      </c>
      <c r="B50" t="s">
        <v>279</v>
      </c>
      <c r="C50" t="s">
        <v>280</v>
      </c>
      <c r="D50" t="s">
        <v>281</v>
      </c>
      <c r="E50" t="s">
        <v>282</v>
      </c>
      <c r="F50">
        <v>0</v>
      </c>
      <c r="G50">
        <v>3</v>
      </c>
      <c r="H50">
        <v>5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25</v>
      </c>
      <c r="B51" t="s">
        <v>277</v>
      </c>
      <c r="C51" t="s">
        <v>194</v>
      </c>
      <c r="D51" t="s">
        <v>278</v>
      </c>
      <c r="E51" t="s">
        <v>252</v>
      </c>
      <c r="F51">
        <v>0</v>
      </c>
      <c r="G51">
        <v>136</v>
      </c>
      <c r="H51">
        <v>294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87</v>
      </c>
      <c r="B52" t="s">
        <v>275</v>
      </c>
      <c r="C52" t="s">
        <v>14</v>
      </c>
      <c r="D52" t="s">
        <v>118</v>
      </c>
      <c r="E52" t="s">
        <v>276</v>
      </c>
      <c r="F52">
        <v>0</v>
      </c>
      <c r="G52">
        <v>69</v>
      </c>
      <c r="H52">
        <v>43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25</v>
      </c>
      <c r="B53" t="s">
        <v>271</v>
      </c>
      <c r="C53" t="s">
        <v>194</v>
      </c>
      <c r="D53" t="s">
        <v>195</v>
      </c>
      <c r="E53" t="s">
        <v>272</v>
      </c>
      <c r="F53">
        <v>0</v>
      </c>
      <c r="G53">
        <v>42</v>
      </c>
      <c r="H53">
        <v>41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12</v>
      </c>
      <c r="B54" t="s">
        <v>265</v>
      </c>
      <c r="C54" t="s">
        <v>14</v>
      </c>
      <c r="D54" t="s">
        <v>266</v>
      </c>
      <c r="E54" t="s">
        <v>267</v>
      </c>
      <c r="F54">
        <v>0</v>
      </c>
      <c r="G54">
        <v>3</v>
      </c>
      <c r="H54">
        <v>6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87</v>
      </c>
      <c r="B55" t="s">
        <v>262</v>
      </c>
      <c r="C55" t="s">
        <v>44</v>
      </c>
      <c r="D55" t="s">
        <v>263</v>
      </c>
      <c r="E55" t="s">
        <v>264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42</v>
      </c>
      <c r="L55">
        <v>0</v>
      </c>
    </row>
    <row r="56" spans="1:12" x14ac:dyDescent="0.3">
      <c r="A56" t="s">
        <v>25</v>
      </c>
      <c r="B56" t="s">
        <v>259</v>
      </c>
      <c r="C56" t="s">
        <v>260</v>
      </c>
      <c r="D56" t="s">
        <v>260</v>
      </c>
      <c r="E56" t="s">
        <v>261</v>
      </c>
      <c r="F56">
        <v>0</v>
      </c>
      <c r="G56">
        <v>12</v>
      </c>
      <c r="H56">
        <v>4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87</v>
      </c>
      <c r="B57" t="s">
        <v>257</v>
      </c>
      <c r="C57" t="s">
        <v>14</v>
      </c>
      <c r="D57" t="s">
        <v>118</v>
      </c>
      <c r="E57" t="s">
        <v>258</v>
      </c>
      <c r="F57">
        <v>0</v>
      </c>
      <c r="G57">
        <v>39</v>
      </c>
      <c r="H57">
        <v>45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25</v>
      </c>
      <c r="B58" t="s">
        <v>251</v>
      </c>
      <c r="C58" t="s">
        <v>194</v>
      </c>
      <c r="D58" t="s">
        <v>195</v>
      </c>
      <c r="E58" t="s">
        <v>252</v>
      </c>
      <c r="F58">
        <v>0</v>
      </c>
      <c r="G58">
        <v>82</v>
      </c>
      <c r="H58">
        <v>70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25</v>
      </c>
      <c r="B59" t="s">
        <v>249</v>
      </c>
      <c r="C59" t="s">
        <v>194</v>
      </c>
      <c r="D59" t="s">
        <v>195</v>
      </c>
      <c r="E59" t="s">
        <v>250</v>
      </c>
      <c r="F59">
        <v>0</v>
      </c>
      <c r="G59">
        <v>61</v>
      </c>
      <c r="H59">
        <v>64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25</v>
      </c>
      <c r="B60" t="s">
        <v>248</v>
      </c>
      <c r="C60" t="s">
        <v>194</v>
      </c>
      <c r="D60" t="s">
        <v>195</v>
      </c>
      <c r="E60">
        <v>14.6</v>
      </c>
      <c r="F60">
        <v>0</v>
      </c>
      <c r="G60">
        <v>65</v>
      </c>
      <c r="H60">
        <v>54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12</v>
      </c>
      <c r="B61" t="s">
        <v>244</v>
      </c>
      <c r="C61" t="s">
        <v>245</v>
      </c>
      <c r="D61" t="s">
        <v>246</v>
      </c>
      <c r="E61" t="s">
        <v>247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42</v>
      </c>
      <c r="L61">
        <v>0</v>
      </c>
    </row>
    <row r="62" spans="1:12" x14ac:dyDescent="0.3">
      <c r="A62" t="s">
        <v>87</v>
      </c>
      <c r="B62" t="s">
        <v>235</v>
      </c>
      <c r="C62" t="s">
        <v>44</v>
      </c>
      <c r="D62" t="s">
        <v>236</v>
      </c>
      <c r="E62">
        <v>1.9</v>
      </c>
      <c r="F62">
        <v>0</v>
      </c>
      <c r="G62">
        <v>12</v>
      </c>
      <c r="H62">
        <v>23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12</v>
      </c>
      <c r="B63" t="s">
        <v>227</v>
      </c>
      <c r="C63" t="s">
        <v>27</v>
      </c>
      <c r="D63" t="s">
        <v>27</v>
      </c>
      <c r="E63" t="s">
        <v>228</v>
      </c>
      <c r="F63">
        <v>0</v>
      </c>
      <c r="G63">
        <v>66</v>
      </c>
      <c r="H63">
        <v>84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12</v>
      </c>
      <c r="B64" t="s">
        <v>223</v>
      </c>
      <c r="C64" t="s">
        <v>224</v>
      </c>
      <c r="D64" t="s">
        <v>225</v>
      </c>
      <c r="E64" t="s">
        <v>226</v>
      </c>
      <c r="F64">
        <v>0</v>
      </c>
      <c r="G64">
        <v>39</v>
      </c>
      <c r="H64">
        <v>69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12</v>
      </c>
      <c r="B65" t="s">
        <v>221</v>
      </c>
      <c r="C65" t="s">
        <v>14</v>
      </c>
      <c r="D65" t="s">
        <v>205</v>
      </c>
      <c r="E65" t="s">
        <v>222</v>
      </c>
      <c r="F65">
        <v>0</v>
      </c>
      <c r="G65">
        <v>57</v>
      </c>
      <c r="H65">
        <v>102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12</v>
      </c>
      <c r="B66" t="s">
        <v>211</v>
      </c>
      <c r="C66" t="s">
        <v>212</v>
      </c>
      <c r="D66" t="s">
        <v>213</v>
      </c>
      <c r="E66" t="s">
        <v>214</v>
      </c>
      <c r="F66">
        <v>0</v>
      </c>
      <c r="G66">
        <v>10</v>
      </c>
      <c r="H66">
        <v>19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25</v>
      </c>
      <c r="B67" t="s">
        <v>207</v>
      </c>
      <c r="C67" t="s">
        <v>34</v>
      </c>
      <c r="D67" t="s">
        <v>35</v>
      </c>
      <c r="E67" t="s">
        <v>208</v>
      </c>
      <c r="F67">
        <v>0</v>
      </c>
      <c r="G67">
        <v>13</v>
      </c>
      <c r="H67">
        <v>16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12</v>
      </c>
      <c r="B68" t="s">
        <v>204</v>
      </c>
      <c r="C68" t="s">
        <v>14</v>
      </c>
      <c r="D68" t="s">
        <v>205</v>
      </c>
      <c r="E68" t="s">
        <v>206</v>
      </c>
      <c r="F68">
        <v>0</v>
      </c>
      <c r="G68">
        <v>66</v>
      </c>
      <c r="H68">
        <v>117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12</v>
      </c>
      <c r="B69" t="s">
        <v>197</v>
      </c>
      <c r="C69" t="s">
        <v>172</v>
      </c>
      <c r="D69" t="s">
        <v>198</v>
      </c>
      <c r="E69" t="s">
        <v>199</v>
      </c>
      <c r="F69">
        <v>0</v>
      </c>
      <c r="G69">
        <v>15</v>
      </c>
      <c r="H69">
        <v>5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12</v>
      </c>
      <c r="B70" t="s">
        <v>193</v>
      </c>
      <c r="C70" t="s">
        <v>194</v>
      </c>
      <c r="D70" t="s">
        <v>195</v>
      </c>
      <c r="E70" t="s">
        <v>196</v>
      </c>
      <c r="F70">
        <v>0</v>
      </c>
      <c r="G70">
        <v>13</v>
      </c>
      <c r="H70">
        <v>22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25</v>
      </c>
      <c r="B71" t="s">
        <v>192</v>
      </c>
      <c r="C71" t="s">
        <v>189</v>
      </c>
      <c r="D71" t="s">
        <v>190</v>
      </c>
      <c r="E71" t="s">
        <v>191</v>
      </c>
      <c r="F71">
        <v>0</v>
      </c>
      <c r="G71">
        <v>11</v>
      </c>
      <c r="H71">
        <v>15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12</v>
      </c>
      <c r="B72" t="s">
        <v>188</v>
      </c>
      <c r="C72" t="s">
        <v>189</v>
      </c>
      <c r="D72" t="s">
        <v>190</v>
      </c>
      <c r="E72" t="s">
        <v>191</v>
      </c>
      <c r="F72">
        <v>0</v>
      </c>
      <c r="G72">
        <v>30</v>
      </c>
      <c r="H72">
        <v>15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87</v>
      </c>
      <c r="B73" t="s">
        <v>180</v>
      </c>
      <c r="C73" t="s">
        <v>181</v>
      </c>
      <c r="D73" t="s">
        <v>182</v>
      </c>
      <c r="E73" t="s">
        <v>183</v>
      </c>
      <c r="F73">
        <v>0</v>
      </c>
      <c r="G73">
        <v>322</v>
      </c>
      <c r="H73">
        <v>558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25</v>
      </c>
      <c r="B74" t="s">
        <v>171</v>
      </c>
      <c r="C74" t="s">
        <v>172</v>
      </c>
      <c r="D74" t="s">
        <v>173</v>
      </c>
      <c r="E74" t="s">
        <v>174</v>
      </c>
      <c r="F74">
        <v>0</v>
      </c>
      <c r="G74">
        <v>90</v>
      </c>
      <c r="H74">
        <v>77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87</v>
      </c>
      <c r="B75" t="s">
        <v>168</v>
      </c>
      <c r="C75" t="s">
        <v>169</v>
      </c>
      <c r="D75" t="s">
        <v>151</v>
      </c>
      <c r="E75" t="s">
        <v>170</v>
      </c>
      <c r="F75">
        <v>0</v>
      </c>
      <c r="G75">
        <v>99</v>
      </c>
      <c r="H75">
        <v>166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87</v>
      </c>
      <c r="B76" t="s">
        <v>161</v>
      </c>
      <c r="C76" t="s">
        <v>14</v>
      </c>
      <c r="D76" t="s">
        <v>162</v>
      </c>
      <c r="E76" t="s">
        <v>163</v>
      </c>
      <c r="F76">
        <v>0</v>
      </c>
      <c r="G76">
        <v>110</v>
      </c>
      <c r="H76">
        <v>174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12</v>
      </c>
      <c r="B77" t="s">
        <v>156</v>
      </c>
      <c r="C77" t="s">
        <v>44</v>
      </c>
      <c r="D77" t="s">
        <v>157</v>
      </c>
      <c r="E77">
        <v>2.6</v>
      </c>
      <c r="F77">
        <v>0</v>
      </c>
      <c r="G77">
        <v>31</v>
      </c>
      <c r="H77">
        <v>71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17</v>
      </c>
      <c r="B78" t="s">
        <v>291</v>
      </c>
      <c r="C78" t="s">
        <v>19</v>
      </c>
      <c r="D78" t="s">
        <v>20</v>
      </c>
      <c r="E78" t="s">
        <v>155</v>
      </c>
      <c r="F78">
        <v>0</v>
      </c>
      <c r="G78">
        <v>9</v>
      </c>
      <c r="H78">
        <v>14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25</v>
      </c>
      <c r="B79" t="s">
        <v>138</v>
      </c>
      <c r="C79" t="s">
        <v>139</v>
      </c>
      <c r="D79" t="s">
        <v>140</v>
      </c>
      <c r="E79" t="s">
        <v>141</v>
      </c>
      <c r="F79">
        <v>0</v>
      </c>
      <c r="G79">
        <v>18</v>
      </c>
      <c r="H79">
        <v>7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17</v>
      </c>
      <c r="B80" t="s">
        <v>136</v>
      </c>
      <c r="C80" t="s">
        <v>19</v>
      </c>
      <c r="D80" t="s">
        <v>20</v>
      </c>
      <c r="E80" t="s">
        <v>137</v>
      </c>
      <c r="F80">
        <v>0</v>
      </c>
      <c r="G80">
        <v>9</v>
      </c>
      <c r="H80">
        <v>14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87</v>
      </c>
      <c r="B81" t="s">
        <v>133</v>
      </c>
      <c r="C81" t="s">
        <v>14</v>
      </c>
      <c r="D81" t="s">
        <v>134</v>
      </c>
      <c r="E81" t="s">
        <v>135</v>
      </c>
      <c r="F81">
        <v>0</v>
      </c>
      <c r="G81">
        <v>154</v>
      </c>
      <c r="H81">
        <v>171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12</v>
      </c>
      <c r="B82" t="s">
        <v>130</v>
      </c>
      <c r="C82" t="s">
        <v>14</v>
      </c>
      <c r="D82" t="s">
        <v>131</v>
      </c>
      <c r="E82" t="s">
        <v>132</v>
      </c>
      <c r="F82">
        <v>0</v>
      </c>
      <c r="G82">
        <v>106</v>
      </c>
      <c r="H82">
        <v>106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25</v>
      </c>
      <c r="B83" t="s">
        <v>126</v>
      </c>
      <c r="C83" t="s">
        <v>127</v>
      </c>
      <c r="D83" t="s">
        <v>128</v>
      </c>
      <c r="E83" t="s">
        <v>129</v>
      </c>
      <c r="F83">
        <v>0</v>
      </c>
      <c r="G83">
        <v>2</v>
      </c>
      <c r="H83">
        <v>4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12</v>
      </c>
      <c r="B84" t="s">
        <v>117</v>
      </c>
      <c r="C84" t="s">
        <v>14</v>
      </c>
      <c r="D84" t="s">
        <v>118</v>
      </c>
      <c r="E84" t="s">
        <v>119</v>
      </c>
      <c r="F84">
        <v>0</v>
      </c>
      <c r="G84">
        <v>58</v>
      </c>
      <c r="H84">
        <v>29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25</v>
      </c>
      <c r="B85" t="s">
        <v>113</v>
      </c>
      <c r="C85" t="s">
        <v>114</v>
      </c>
      <c r="D85" t="s">
        <v>115</v>
      </c>
      <c r="E85" t="s">
        <v>116</v>
      </c>
      <c r="F85">
        <v>0</v>
      </c>
      <c r="G85">
        <v>27</v>
      </c>
      <c r="H85">
        <v>6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25</v>
      </c>
      <c r="B86" t="s">
        <v>108</v>
      </c>
      <c r="C86" t="s">
        <v>14</v>
      </c>
      <c r="D86" t="s">
        <v>109</v>
      </c>
      <c r="E86" t="s">
        <v>110</v>
      </c>
      <c r="F86">
        <v>0</v>
      </c>
      <c r="G86">
        <v>217</v>
      </c>
      <c r="H86">
        <v>169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t="s">
        <v>87</v>
      </c>
      <c r="B87" t="s">
        <v>106</v>
      </c>
      <c r="C87" t="s">
        <v>14</v>
      </c>
      <c r="D87" t="s">
        <v>23</v>
      </c>
      <c r="E87" t="s">
        <v>107</v>
      </c>
      <c r="F87">
        <v>0</v>
      </c>
      <c r="G87">
        <v>570</v>
      </c>
      <c r="H87">
        <v>462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12</v>
      </c>
      <c r="B88" t="s">
        <v>96</v>
      </c>
      <c r="C88" t="s">
        <v>14</v>
      </c>
      <c r="D88" t="s">
        <v>97</v>
      </c>
      <c r="E88" t="s">
        <v>98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87</v>
      </c>
      <c r="B89" t="s">
        <v>88</v>
      </c>
      <c r="C89" t="s">
        <v>89</v>
      </c>
      <c r="D89" t="s">
        <v>90</v>
      </c>
      <c r="E89" t="s">
        <v>91</v>
      </c>
      <c r="F89">
        <v>0</v>
      </c>
      <c r="G89">
        <v>47</v>
      </c>
      <c r="H89">
        <v>53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12</v>
      </c>
      <c r="B90" t="s">
        <v>74</v>
      </c>
      <c r="C90" t="s">
        <v>75</v>
      </c>
      <c r="D90" t="s">
        <v>75</v>
      </c>
      <c r="E90" t="s">
        <v>76</v>
      </c>
      <c r="F90">
        <v>0</v>
      </c>
      <c r="G90">
        <v>100</v>
      </c>
      <c r="H90">
        <v>157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12</v>
      </c>
      <c r="B91" t="s">
        <v>61</v>
      </c>
      <c r="C91" t="s">
        <v>62</v>
      </c>
      <c r="D91" t="s">
        <v>63</v>
      </c>
      <c r="E91" t="s">
        <v>64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42</v>
      </c>
      <c r="L91">
        <v>0</v>
      </c>
    </row>
    <row r="92" spans="1:12" x14ac:dyDescent="0.3">
      <c r="A92" t="s">
        <v>25</v>
      </c>
      <c r="B92" t="s">
        <v>39</v>
      </c>
      <c r="C92" t="s">
        <v>14</v>
      </c>
      <c r="D92" t="s">
        <v>40</v>
      </c>
      <c r="E92" t="s">
        <v>41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12</v>
      </c>
      <c r="B93" t="s">
        <v>37</v>
      </c>
      <c r="C93" t="s">
        <v>38</v>
      </c>
      <c r="D93" t="s">
        <v>38</v>
      </c>
      <c r="E93">
        <v>4.4000000000000004</v>
      </c>
      <c r="F93">
        <v>0</v>
      </c>
      <c r="G93">
        <v>238</v>
      </c>
      <c r="H93">
        <v>158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25</v>
      </c>
      <c r="B94" t="s">
        <v>26</v>
      </c>
      <c r="C94" t="s">
        <v>27</v>
      </c>
      <c r="D94" t="s">
        <v>27</v>
      </c>
      <c r="E94" t="s">
        <v>28</v>
      </c>
      <c r="F94">
        <v>0</v>
      </c>
      <c r="G94">
        <v>73</v>
      </c>
      <c r="H94">
        <v>55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17</v>
      </c>
      <c r="B95" t="s">
        <v>22</v>
      </c>
      <c r="C95" t="s">
        <v>14</v>
      </c>
      <c r="D95" t="s">
        <v>23</v>
      </c>
      <c r="E95" t="s">
        <v>24</v>
      </c>
      <c r="F95">
        <v>0</v>
      </c>
      <c r="G95">
        <v>58</v>
      </c>
      <c r="H95">
        <v>134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>
        <v>0</v>
      </c>
      <c r="G96">
        <v>9</v>
      </c>
      <c r="H96">
        <v>18</v>
      </c>
      <c r="I96">
        <v>0</v>
      </c>
      <c r="J96">
        <v>0</v>
      </c>
      <c r="K96">
        <v>0</v>
      </c>
      <c r="L96">
        <v>0</v>
      </c>
    </row>
  </sheetData>
  <sortState xmlns:xlrd2="http://schemas.microsoft.com/office/spreadsheetml/2017/richdata2" ref="A2:L96">
    <sortCondition descending="1" ref="F1:F96"/>
  </sortState>
  <phoneticPr fontId="19" type="noConversion"/>
  <conditionalFormatting sqref="B2:B92 B94:B96">
    <cfRule type="duplicateValues" dxfId="2" priority="10"/>
    <cfRule type="duplicateValues" dxfId="1" priority="12"/>
  </conditionalFormatting>
  <conditionalFormatting sqref="B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vulnAnalyzer</vt:lpstr>
      <vt:lpstr>steady</vt:lpstr>
      <vt:lpstr>VAScanner</vt:lpstr>
      <vt:lpstr>IRIS+Llama3-8B</vt:lpstr>
      <vt:lpstr>IRIS+Gemma2-27B</vt:lpstr>
      <vt:lpstr>IRIS+GPT-3.5</vt:lpstr>
      <vt:lpstr>IRIS+Qwen2.5-32B</vt:lpstr>
      <vt:lpstr>IRIS+DeepSeekCoder-7B</vt:lpstr>
      <vt:lpstr>IRIS+Llama3-70B</vt:lpstr>
      <vt:lpstr>IRIS+GPT-4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晓虎 宋</cp:lastModifiedBy>
  <dcterms:created xsi:type="dcterms:W3CDTF">2025-04-24T05:48:51Z</dcterms:created>
  <dcterms:modified xsi:type="dcterms:W3CDTF">2025-09-19T07:18:38Z</dcterms:modified>
</cp:coreProperties>
</file>